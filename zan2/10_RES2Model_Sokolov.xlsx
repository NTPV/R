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ModInf\zan2\"/>
    </mc:Choice>
  </mc:AlternateContent>
  <xr:revisionPtr revIDLastSave="0" documentId="13_ncr:1_{F50C2EE0-3BBD-4100-89B9-C2084BCF997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_2" sheetId="2" r:id="rId1"/>
    <sheet name="Отчет_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3" i="2" l="1"/>
  <c r="B33" i="2"/>
  <c r="B32" i="2"/>
  <c r="C32" i="2"/>
  <c r="C31" i="2"/>
  <c r="B31" i="2"/>
  <c r="C30" i="2"/>
  <c r="B30" i="2"/>
  <c r="C29" i="2"/>
  <c r="B29" i="2"/>
  <c r="C28" i="2"/>
  <c r="B28" i="2"/>
</calcChain>
</file>

<file path=xl/sharedStrings.xml><?xml version="1.0" encoding="utf-8"?>
<sst xmlns="http://schemas.openxmlformats.org/spreadsheetml/2006/main" count="60" uniqueCount="43">
  <si>
    <t>Объем выборки</t>
  </si>
  <si>
    <t>Среднее</t>
  </si>
  <si>
    <t>Дисперсия</t>
  </si>
  <si>
    <t>Коэффициент вариации</t>
  </si>
  <si>
    <t xml:space="preserve"> Почему нужно обязательно указывать объем выборки при представлении результатов исследования?</t>
  </si>
  <si>
    <t>Что такое дисперсия, в каких единицах измеряется?</t>
  </si>
  <si>
    <t>Единицы</t>
  </si>
  <si>
    <t>Какие характеристики называют мерами разброса и почему?</t>
  </si>
  <si>
    <t>Что такое коэффициен вариации и когда  его нельзя рассчитать?</t>
  </si>
  <si>
    <t>Что такое стандартное отклонение, в каки единицах измеряется?</t>
  </si>
  <si>
    <t>Сколько знаков после запятой указывается для среднего, стандартного отклонения, дисперсии, коэффициента корреляции</t>
  </si>
  <si>
    <t>Напишите, как получены данные Вашего варианта,  каковы единицы измерения и каков объем данных.</t>
  </si>
  <si>
    <t>Названия характеристик</t>
  </si>
  <si>
    <t>Значения, полученные из программы R</t>
  </si>
  <si>
    <t>Стандартное отклонение</t>
  </si>
  <si>
    <t>Итоговый отчет по задаче 2</t>
  </si>
  <si>
    <t>Значения, полученные c помощью программы Excel</t>
  </si>
  <si>
    <t>Коэфициент вариации</t>
  </si>
  <si>
    <t>Мощность А2, см</t>
  </si>
  <si>
    <t>K2O, мг/100г</t>
  </si>
  <si>
    <t>Среднее:</t>
  </si>
  <si>
    <t>Количество ячеек</t>
  </si>
  <si>
    <t>Ошибка среднего</t>
  </si>
  <si>
    <t>Данные получены из файла exel  (10й вариант): Мощность А2, см; K2O, мг/100г; объём n=25 строкс (проб грунта)</t>
  </si>
  <si>
    <t>шт,  строк, колчество измерений</t>
  </si>
  <si>
    <t>см</t>
  </si>
  <si>
    <t>см^2</t>
  </si>
  <si>
    <t>%</t>
  </si>
  <si>
    <t>Статистические характеристики для  _K2O_( мг/100г )</t>
  </si>
  <si>
    <t>шт,  строк, количество измерений</t>
  </si>
  <si>
    <t xml:space="preserve"> 17.8</t>
  </si>
  <si>
    <t>мг/100г</t>
  </si>
  <si>
    <t>46.0</t>
  </si>
  <si>
    <t>(мг/100г)^2</t>
  </si>
  <si>
    <t xml:space="preserve"> 6.8</t>
  </si>
  <si>
    <t>Объём выборки нужен, чтобы определить точность оценивания (чем он больше, тем точность оценивания выше)</t>
  </si>
  <si>
    <t xml:space="preserve">Коэффициент вариации – это отношение стандартного отклонения к среднему. Если среднее близко к нулю, то коэффициент вариации не рассчитывают.  </t>
  </si>
  <si>
    <t>Дисперсия - это сумма квадратов центральных отклонений (разности между значением и средним арифметическим) деленная на объем выборки минус 1)</t>
  </si>
  <si>
    <t>Квадратный корень из дисперсии называется стандартным отклонением. Измеряется в тех же единицах, что и исходные данные</t>
  </si>
  <si>
    <t>"Среднее и стандартное отклонение - на один больше, чем в случайной величине; дисперсия - в квадратах единицы измерения, коэффициент корреляции - 0 знаков после запятой (в процентах)"</t>
  </si>
  <si>
    <t>"Дисперсию, стандартное отклонение, ошибку среднего и коэффициент вариации (они показывают насколько значения ""разбросаны относительно среднего"</t>
  </si>
  <si>
    <t>студента Соколова Петра вариант 10</t>
  </si>
  <si>
    <t>Статистические характеристики для  __________A2______ ____________(укажите единицы ______см________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</si>
</sst>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Border="1"/>
    <xf numFmtId="0" fontId="2" fillId="0" borderId="0" xfId="0" applyFont="1"/>
    <xf numFmtId="0" fontId="2" fillId="0" borderId="0" xfId="0" applyFont="1" applyBorder="1"/>
    <xf numFmtId="0" fontId="3" fillId="0" borderId="0" xfId="0" applyFont="1" applyFill="1" applyBorder="1" applyAlignment="1">
      <alignment horizontal="center" vertical="top" wrapText="1"/>
    </xf>
    <xf numFmtId="164" fontId="3" fillId="0" borderId="0" xfId="0" applyNumberFormat="1" applyFont="1" applyFill="1" applyBorder="1" applyAlignment="1">
      <alignment horizontal="center"/>
    </xf>
    <xf numFmtId="0" fontId="2" fillId="0" borderId="0" xfId="0" applyFont="1" applyBorder="1" applyAlignment="1">
      <alignment wrapText="1"/>
    </xf>
    <xf numFmtId="1" fontId="3" fillId="0" borderId="0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164" fontId="2" fillId="0" borderId="0" xfId="0" applyNumberFormat="1" applyFont="1" applyBorder="1" applyAlignment="1">
      <alignment horizontal="left" vertical="top" wrapText="1"/>
    </xf>
    <xf numFmtId="164" fontId="0" fillId="3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1" fontId="1" fillId="3" borderId="1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/>
    </xf>
    <xf numFmtId="0" fontId="0" fillId="0" borderId="0" xfId="0" applyAlignment="1">
      <alignment vertical="top"/>
    </xf>
    <xf numFmtId="0" fontId="2" fillId="0" borderId="0" xfId="0" applyFont="1" applyBorder="1" applyAlignment="1">
      <alignment vertical="top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right" vertical="top"/>
    </xf>
    <xf numFmtId="0" fontId="2" fillId="0" borderId="0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Border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0" xfId="0" applyNumberFormat="1"/>
    <xf numFmtId="2" fontId="0" fillId="0" borderId="0" xfId="0" applyNumberFormat="1"/>
    <xf numFmtId="0" fontId="2" fillId="2" borderId="1" xfId="0" applyFont="1" applyFill="1" applyBorder="1" applyAlignment="1"/>
    <xf numFmtId="0" fontId="0" fillId="2" borderId="1" xfId="0" applyFill="1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2" fontId="2" fillId="2" borderId="1" xfId="0" applyNumberFormat="1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>
      <selection activeCell="C22" sqref="C22"/>
    </sheetView>
  </sheetViews>
  <sheetFormatPr defaultRowHeight="15" x14ac:dyDescent="0.25"/>
  <cols>
    <col min="1" max="1" width="24.5703125" bestFit="1" customWidth="1"/>
    <col min="2" max="2" width="19.5703125" customWidth="1"/>
    <col min="3" max="3" width="14.140625" customWidth="1"/>
    <col min="4" max="4" width="14.85546875" customWidth="1"/>
    <col min="5" max="5" width="17.28515625" customWidth="1"/>
  </cols>
  <sheetData>
    <row r="1" spans="1:3" x14ac:dyDescent="0.25">
      <c r="B1" s="13" t="s">
        <v>18</v>
      </c>
      <c r="C1" s="13" t="s">
        <v>19</v>
      </c>
    </row>
    <row r="2" spans="1:3" x14ac:dyDescent="0.25">
      <c r="A2">
        <v>1</v>
      </c>
      <c r="B2" s="12">
        <v>5.4</v>
      </c>
      <c r="C2" s="14">
        <v>18</v>
      </c>
    </row>
    <row r="3" spans="1:3" x14ac:dyDescent="0.25">
      <c r="A3">
        <v>2</v>
      </c>
      <c r="B3" s="12">
        <v>7.3</v>
      </c>
      <c r="C3" s="14">
        <v>17</v>
      </c>
    </row>
    <row r="4" spans="1:3" x14ac:dyDescent="0.25">
      <c r="A4">
        <v>3</v>
      </c>
      <c r="B4" s="12">
        <v>6.3</v>
      </c>
      <c r="C4" s="14">
        <v>10</v>
      </c>
    </row>
    <row r="5" spans="1:3" x14ac:dyDescent="0.25">
      <c r="A5">
        <v>4</v>
      </c>
      <c r="B5" s="12">
        <v>6.9</v>
      </c>
      <c r="C5" s="14">
        <v>13</v>
      </c>
    </row>
    <row r="6" spans="1:3" x14ac:dyDescent="0.25">
      <c r="A6">
        <v>5</v>
      </c>
      <c r="B6" s="12">
        <v>6</v>
      </c>
      <c r="C6" s="14">
        <v>30</v>
      </c>
    </row>
    <row r="7" spans="1:3" x14ac:dyDescent="0.25">
      <c r="A7">
        <v>6</v>
      </c>
      <c r="B7" s="12">
        <v>5.6</v>
      </c>
      <c r="C7" s="14">
        <v>16</v>
      </c>
    </row>
    <row r="8" spans="1:3" x14ac:dyDescent="0.25">
      <c r="A8">
        <v>7</v>
      </c>
      <c r="B8" s="12">
        <v>3</v>
      </c>
      <c r="C8" s="14">
        <v>22</v>
      </c>
    </row>
    <row r="9" spans="1:3" x14ac:dyDescent="0.25">
      <c r="A9">
        <v>8</v>
      </c>
      <c r="B9" s="12">
        <v>5.4</v>
      </c>
      <c r="C9" s="14">
        <v>22</v>
      </c>
    </row>
    <row r="10" spans="1:3" x14ac:dyDescent="0.25">
      <c r="A10">
        <v>9</v>
      </c>
      <c r="B10" s="12">
        <v>8.6999999999999993</v>
      </c>
      <c r="C10" s="14">
        <v>12</v>
      </c>
    </row>
    <row r="11" spans="1:3" x14ac:dyDescent="0.25">
      <c r="A11">
        <v>10</v>
      </c>
      <c r="B11" s="12">
        <v>5.5</v>
      </c>
      <c r="C11" s="14">
        <v>25</v>
      </c>
    </row>
    <row r="12" spans="1:3" x14ac:dyDescent="0.25">
      <c r="A12">
        <v>11</v>
      </c>
      <c r="B12" s="12">
        <v>7.5</v>
      </c>
      <c r="C12" s="14">
        <v>1</v>
      </c>
    </row>
    <row r="13" spans="1:3" x14ac:dyDescent="0.25">
      <c r="A13">
        <v>12</v>
      </c>
      <c r="B13" s="12">
        <v>3.5</v>
      </c>
      <c r="C13" s="14">
        <v>25</v>
      </c>
    </row>
    <row r="14" spans="1:3" x14ac:dyDescent="0.25">
      <c r="A14">
        <v>13</v>
      </c>
      <c r="B14" s="12">
        <v>6.7</v>
      </c>
      <c r="C14" s="14">
        <v>15</v>
      </c>
    </row>
    <row r="15" spans="1:3" x14ac:dyDescent="0.25">
      <c r="A15">
        <v>14</v>
      </c>
      <c r="B15" s="12">
        <v>2.8</v>
      </c>
      <c r="C15" s="14">
        <v>19</v>
      </c>
    </row>
    <row r="16" spans="1:3" x14ac:dyDescent="0.25">
      <c r="A16">
        <v>15</v>
      </c>
      <c r="B16" s="12">
        <v>5.4</v>
      </c>
      <c r="C16" s="14">
        <v>29</v>
      </c>
    </row>
    <row r="17" spans="1:3" x14ac:dyDescent="0.25">
      <c r="A17">
        <v>16</v>
      </c>
      <c r="B17" s="12">
        <v>6.3</v>
      </c>
      <c r="C17" s="14">
        <v>20</v>
      </c>
    </row>
    <row r="18" spans="1:3" x14ac:dyDescent="0.25">
      <c r="A18">
        <v>17</v>
      </c>
      <c r="B18" s="12">
        <v>6.2</v>
      </c>
      <c r="C18" s="14">
        <v>18</v>
      </c>
    </row>
    <row r="19" spans="1:3" x14ac:dyDescent="0.25">
      <c r="A19">
        <v>18</v>
      </c>
      <c r="B19" s="12">
        <v>5.5</v>
      </c>
      <c r="C19" s="14">
        <v>9</v>
      </c>
    </row>
    <row r="20" spans="1:3" x14ac:dyDescent="0.25">
      <c r="A20">
        <v>19</v>
      </c>
      <c r="B20" s="12">
        <v>7.9</v>
      </c>
      <c r="C20" s="14">
        <v>20</v>
      </c>
    </row>
    <row r="21" spans="1:3" x14ac:dyDescent="0.25">
      <c r="A21">
        <v>20</v>
      </c>
      <c r="B21" s="12">
        <v>5.0999999999999996</v>
      </c>
      <c r="C21" s="14">
        <v>26</v>
      </c>
    </row>
    <row r="22" spans="1:3" x14ac:dyDescent="0.25">
      <c r="A22">
        <v>21</v>
      </c>
      <c r="B22" s="12">
        <v>5.7</v>
      </c>
      <c r="C22" s="14">
        <v>19</v>
      </c>
    </row>
    <row r="23" spans="1:3" x14ac:dyDescent="0.25">
      <c r="A23">
        <v>22</v>
      </c>
      <c r="B23" s="12">
        <v>7.9</v>
      </c>
      <c r="C23" s="14">
        <v>13</v>
      </c>
    </row>
    <row r="24" spans="1:3" x14ac:dyDescent="0.25">
      <c r="A24">
        <v>23</v>
      </c>
      <c r="B24" s="12">
        <v>4.2</v>
      </c>
      <c r="C24" s="14">
        <v>22</v>
      </c>
    </row>
    <row r="25" spans="1:3" x14ac:dyDescent="0.25">
      <c r="A25">
        <v>24</v>
      </c>
      <c r="B25" s="12">
        <v>7.2</v>
      </c>
      <c r="C25" s="14">
        <v>9</v>
      </c>
    </row>
    <row r="26" spans="1:3" x14ac:dyDescent="0.25">
      <c r="A26">
        <v>25</v>
      </c>
      <c r="B26" s="12">
        <v>8.6</v>
      </c>
      <c r="C26" s="14">
        <v>16</v>
      </c>
    </row>
    <row r="28" spans="1:3" x14ac:dyDescent="0.25">
      <c r="A28" t="s">
        <v>20</v>
      </c>
      <c r="B28" s="37">
        <f>AVERAGE(B2:B26)</f>
        <v>6.0239999999999982</v>
      </c>
      <c r="C28" s="36">
        <f>AVERAGE(C2:C26)</f>
        <v>17.84</v>
      </c>
    </row>
    <row r="29" spans="1:3" x14ac:dyDescent="0.25">
      <c r="A29" t="s">
        <v>2</v>
      </c>
      <c r="B29" s="37">
        <f>VAR(B2:B26)</f>
        <v>2.4802333333333499</v>
      </c>
      <c r="C29" s="36">
        <f>VAR(C2:C26)</f>
        <v>45.973333333333322</v>
      </c>
    </row>
    <row r="30" spans="1:3" x14ac:dyDescent="0.25">
      <c r="A30" t="s">
        <v>14</v>
      </c>
      <c r="B30" s="37">
        <f>STDEV(B2:B26)</f>
        <v>1.574875656467313</v>
      </c>
      <c r="C30" s="36">
        <f>STDEV(C2:C26)</f>
        <v>6.7803638053819295</v>
      </c>
    </row>
    <row r="31" spans="1:3" x14ac:dyDescent="0.25">
      <c r="A31" t="s">
        <v>21</v>
      </c>
      <c r="B31">
        <f>COUNT(B2:B26)</f>
        <v>25</v>
      </c>
      <c r="C31">
        <f>COUNT(C2:C26)</f>
        <v>25</v>
      </c>
    </row>
    <row r="32" spans="1:3" x14ac:dyDescent="0.25">
      <c r="A32" t="s">
        <v>22</v>
      </c>
      <c r="B32" s="37">
        <f>B30/SQRT(B31)</f>
        <v>0.31497513129346261</v>
      </c>
      <c r="C32" s="36">
        <f>C30/SQRT(C31)</f>
        <v>1.3560727610763859</v>
      </c>
    </row>
    <row r="33" spans="1:3" x14ac:dyDescent="0.25">
      <c r="A33" t="s">
        <v>3</v>
      </c>
      <c r="B33" s="37">
        <f>(B30/B28)*100</f>
        <v>26.143354191024461</v>
      </c>
      <c r="C33" s="36">
        <f>(C30/C28)*100</f>
        <v>38.006523572768664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4"/>
  <sheetViews>
    <sheetView tabSelected="1" topLeftCell="A12" workbookViewId="0">
      <selection activeCell="C12" sqref="C12"/>
    </sheetView>
  </sheetViews>
  <sheetFormatPr defaultRowHeight="15" x14ac:dyDescent="0.25"/>
  <cols>
    <col min="2" max="2" width="32.42578125" customWidth="1"/>
    <col min="3" max="3" width="16.5703125" customWidth="1"/>
    <col min="4" max="4" width="20.42578125" customWidth="1"/>
    <col min="5" max="5" width="31.140625" customWidth="1"/>
    <col min="12" max="12" width="56.7109375" customWidth="1"/>
  </cols>
  <sheetData>
    <row r="1" spans="1:12" ht="18.75" x14ac:dyDescent="0.3">
      <c r="A1" s="18" t="s">
        <v>15</v>
      </c>
      <c r="D1" s="18"/>
    </row>
    <row r="2" spans="1:12" ht="18.75" x14ac:dyDescent="0.3">
      <c r="A2" s="18" t="s">
        <v>41</v>
      </c>
      <c r="D2" s="18"/>
    </row>
    <row r="3" spans="1:12" x14ac:dyDescent="0.25">
      <c r="B3" s="19"/>
    </row>
    <row r="4" spans="1:12" ht="15.75" x14ac:dyDescent="0.25">
      <c r="A4" s="20">
        <v>1</v>
      </c>
      <c r="B4" s="21" t="s">
        <v>11</v>
      </c>
      <c r="C4" s="21"/>
      <c r="D4" s="21"/>
      <c r="E4" s="21"/>
      <c r="F4" s="21"/>
      <c r="G4" s="21"/>
      <c r="H4" s="21"/>
      <c r="I4" s="21"/>
    </row>
    <row r="5" spans="1:12" ht="7.35" customHeight="1" x14ac:dyDescent="0.25">
      <c r="B5" s="22"/>
    </row>
    <row r="6" spans="1:12" ht="15.6" customHeight="1" x14ac:dyDescent="0.25">
      <c r="B6" s="40" t="s">
        <v>23</v>
      </c>
      <c r="C6" s="40"/>
      <c r="D6" s="40"/>
      <c r="E6" s="40"/>
      <c r="F6" s="40"/>
      <c r="G6" s="40"/>
      <c r="H6" s="40"/>
      <c r="I6" s="40"/>
      <c r="J6" s="40"/>
      <c r="K6" s="40"/>
      <c r="L6" s="40"/>
    </row>
    <row r="7" spans="1:12" ht="24" customHeight="1" x14ac:dyDescent="0.2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2" ht="15.75" x14ac:dyDescent="0.25">
      <c r="B8" s="22"/>
    </row>
    <row r="9" spans="1:12" ht="29.45" customHeight="1" x14ac:dyDescent="0.25">
      <c r="A9" s="23">
        <v>2</v>
      </c>
      <c r="B9" s="41" t="s">
        <v>42</v>
      </c>
      <c r="C9" s="42"/>
      <c r="D9" s="42"/>
      <c r="E9" s="42"/>
      <c r="F9" s="42"/>
      <c r="G9" s="42"/>
      <c r="H9" s="42"/>
      <c r="I9" s="43"/>
    </row>
    <row r="10" spans="1:12" ht="18.600000000000001" customHeight="1" x14ac:dyDescent="0.25">
      <c r="A10" s="23"/>
      <c r="B10" s="24"/>
      <c r="C10" s="24"/>
      <c r="D10" s="24"/>
      <c r="E10" s="24"/>
      <c r="F10" s="24"/>
      <c r="G10" s="24"/>
      <c r="H10" s="24"/>
      <c r="I10" s="24"/>
    </row>
    <row r="11" spans="1:12" ht="45.6" customHeight="1" x14ac:dyDescent="0.25">
      <c r="A11" s="23"/>
      <c r="B11" s="32" t="s">
        <v>12</v>
      </c>
      <c r="C11" s="25" t="s">
        <v>16</v>
      </c>
      <c r="D11" s="25" t="s">
        <v>13</v>
      </c>
      <c r="E11" s="29" t="s">
        <v>6</v>
      </c>
      <c r="F11" s="24"/>
      <c r="G11" s="26"/>
      <c r="H11" s="26"/>
      <c r="I11" s="26"/>
    </row>
    <row r="12" spans="1:12" ht="14.45" customHeight="1" x14ac:dyDescent="0.25">
      <c r="A12" s="1"/>
      <c r="B12" s="27" t="s">
        <v>0</v>
      </c>
      <c r="C12" s="38">
        <v>25</v>
      </c>
      <c r="D12" s="39">
        <v>25</v>
      </c>
      <c r="E12" s="39" t="s">
        <v>24</v>
      </c>
      <c r="G12" s="26"/>
      <c r="H12" s="26"/>
      <c r="I12" s="26"/>
    </row>
    <row r="13" spans="1:12" ht="15" customHeight="1" x14ac:dyDescent="0.25">
      <c r="A13" s="1"/>
      <c r="B13" s="28" t="s">
        <v>1</v>
      </c>
      <c r="C13" s="59">
        <v>6.024</v>
      </c>
      <c r="D13" s="59">
        <v>6.024</v>
      </c>
      <c r="E13" s="39" t="s">
        <v>25</v>
      </c>
      <c r="G13" s="26"/>
      <c r="H13" s="26"/>
      <c r="I13" s="26"/>
    </row>
    <row r="14" spans="1:12" ht="15.75" x14ac:dyDescent="0.25">
      <c r="A14" s="1"/>
      <c r="B14" s="30" t="s">
        <v>2</v>
      </c>
      <c r="C14" s="38">
        <v>2.48</v>
      </c>
      <c r="D14" s="59">
        <v>2.48</v>
      </c>
      <c r="E14" s="39" t="s">
        <v>26</v>
      </c>
      <c r="G14" s="31"/>
      <c r="H14" s="31"/>
      <c r="I14" s="31"/>
    </row>
    <row r="15" spans="1:12" ht="15.75" x14ac:dyDescent="0.25">
      <c r="A15" s="1"/>
      <c r="B15" s="29" t="s">
        <v>14</v>
      </c>
      <c r="C15" s="38">
        <v>1.57</v>
      </c>
      <c r="D15" s="59">
        <v>1.57</v>
      </c>
      <c r="E15" s="39" t="s">
        <v>25</v>
      </c>
      <c r="G15" s="31"/>
      <c r="H15" s="31"/>
      <c r="I15" s="31"/>
    </row>
    <row r="16" spans="1:12" ht="15.75" x14ac:dyDescent="0.25">
      <c r="B16" s="33" t="s">
        <v>17</v>
      </c>
      <c r="C16" s="39">
        <v>26</v>
      </c>
      <c r="D16" s="39">
        <v>26</v>
      </c>
      <c r="E16" s="39" t="s">
        <v>27</v>
      </c>
    </row>
    <row r="18" spans="1:13" ht="29.45" customHeight="1" x14ac:dyDescent="0.25">
      <c r="A18" s="23">
        <v>3</v>
      </c>
      <c r="B18" s="41" t="s">
        <v>28</v>
      </c>
      <c r="C18" s="42"/>
      <c r="D18" s="42"/>
      <c r="E18" s="42"/>
      <c r="F18" s="42"/>
      <c r="G18" s="42"/>
      <c r="H18" s="42"/>
      <c r="I18" s="43"/>
    </row>
    <row r="19" spans="1:13" ht="18.600000000000001" customHeight="1" x14ac:dyDescent="0.25">
      <c r="A19" s="23"/>
      <c r="B19" s="24"/>
      <c r="C19" s="24"/>
      <c r="D19" s="24"/>
      <c r="E19" s="24"/>
      <c r="F19" s="24"/>
      <c r="G19" s="24"/>
      <c r="H19" s="24"/>
      <c r="I19" s="24"/>
    </row>
    <row r="20" spans="1:13" ht="45.6" customHeight="1" x14ac:dyDescent="0.25">
      <c r="A20" s="23"/>
      <c r="B20" s="32" t="s">
        <v>12</v>
      </c>
      <c r="C20" s="25" t="s">
        <v>16</v>
      </c>
      <c r="D20" s="25" t="s">
        <v>13</v>
      </c>
      <c r="E20" s="29" t="s">
        <v>6</v>
      </c>
      <c r="F20" s="24"/>
      <c r="G20" s="26"/>
      <c r="H20" s="26"/>
      <c r="I20" s="26"/>
    </row>
    <row r="21" spans="1:13" ht="14.45" customHeight="1" x14ac:dyDescent="0.25">
      <c r="A21" s="1"/>
      <c r="B21" s="27" t="s">
        <v>0</v>
      </c>
      <c r="C21" s="35">
        <v>25</v>
      </c>
      <c r="D21" s="34">
        <v>25</v>
      </c>
      <c r="E21" s="34" t="s">
        <v>29</v>
      </c>
      <c r="G21" s="26"/>
      <c r="H21" s="26"/>
      <c r="I21" s="26"/>
    </row>
    <row r="22" spans="1:13" ht="15" customHeight="1" x14ac:dyDescent="0.25">
      <c r="A22" s="1"/>
      <c r="B22" s="29" t="s">
        <v>1</v>
      </c>
      <c r="C22" s="35" t="s">
        <v>30</v>
      </c>
      <c r="D22" s="35" t="s">
        <v>30</v>
      </c>
      <c r="E22" s="34" t="s">
        <v>31</v>
      </c>
      <c r="G22" s="26"/>
      <c r="H22" s="26"/>
      <c r="I22" s="26"/>
    </row>
    <row r="23" spans="1:13" ht="15.75" x14ac:dyDescent="0.25">
      <c r="A23" s="1"/>
      <c r="B23" s="29" t="s">
        <v>2</v>
      </c>
      <c r="C23" s="35" t="s">
        <v>32</v>
      </c>
      <c r="D23" s="35" t="s">
        <v>32</v>
      </c>
      <c r="E23" s="34" t="s">
        <v>33</v>
      </c>
      <c r="G23" s="31"/>
      <c r="H23" s="31"/>
      <c r="I23" s="31"/>
    </row>
    <row r="24" spans="1:13" ht="15.75" x14ac:dyDescent="0.25">
      <c r="A24" s="1"/>
      <c r="B24" s="29" t="s">
        <v>14</v>
      </c>
      <c r="C24" s="35" t="s">
        <v>34</v>
      </c>
      <c r="D24" s="35" t="s">
        <v>34</v>
      </c>
      <c r="E24" s="34" t="s">
        <v>31</v>
      </c>
      <c r="G24" s="31"/>
      <c r="H24" s="31"/>
      <c r="I24" s="31"/>
    </row>
    <row r="25" spans="1:13" ht="15.75" x14ac:dyDescent="0.25">
      <c r="B25" s="33" t="s">
        <v>17</v>
      </c>
      <c r="C25" s="34">
        <v>38</v>
      </c>
      <c r="D25" s="34">
        <v>38</v>
      </c>
      <c r="E25" s="34" t="s">
        <v>27</v>
      </c>
    </row>
    <row r="27" spans="1:13" ht="15.75" x14ac:dyDescent="0.25">
      <c r="A27" s="6">
        <v>4</v>
      </c>
      <c r="B27" s="15" t="s">
        <v>4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8"/>
    </row>
    <row r="28" spans="1:13" ht="15.75" x14ac:dyDescent="0.25">
      <c r="A28" s="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8"/>
    </row>
    <row r="29" spans="1:13" ht="15.75" x14ac:dyDescent="0.25">
      <c r="A29" s="5"/>
      <c r="B29" s="44" t="s">
        <v>35</v>
      </c>
      <c r="C29" s="45"/>
      <c r="D29" s="45"/>
      <c r="E29" s="45"/>
      <c r="F29" s="45"/>
      <c r="G29" s="45"/>
      <c r="H29" s="45"/>
      <c r="I29" s="45"/>
      <c r="J29" s="45"/>
      <c r="K29" s="45"/>
      <c r="L29" s="46"/>
      <c r="M29" s="8"/>
    </row>
    <row r="30" spans="1:13" ht="15.75" x14ac:dyDescent="0.25">
      <c r="A30" s="5"/>
      <c r="B30" s="47"/>
      <c r="C30" s="48"/>
      <c r="D30" s="48"/>
      <c r="E30" s="48"/>
      <c r="F30" s="48"/>
      <c r="G30" s="48"/>
      <c r="H30" s="48"/>
      <c r="I30" s="48"/>
      <c r="J30" s="48"/>
      <c r="K30" s="48"/>
      <c r="L30" s="49"/>
      <c r="M30" s="8"/>
    </row>
    <row r="31" spans="1:13" ht="15.75" x14ac:dyDescent="0.25">
      <c r="A31" s="5"/>
      <c r="B31" s="9"/>
      <c r="C31" s="10"/>
      <c r="D31" s="11"/>
      <c r="E31" s="11"/>
      <c r="F31" s="10"/>
      <c r="G31" s="9"/>
      <c r="H31" s="9"/>
      <c r="I31" s="8"/>
      <c r="J31" s="8"/>
      <c r="K31" s="8"/>
      <c r="L31" s="8"/>
      <c r="M31" s="8"/>
    </row>
    <row r="32" spans="1:13" ht="15.75" x14ac:dyDescent="0.25">
      <c r="A32" s="7">
        <v>5</v>
      </c>
      <c r="B32" s="16" t="s">
        <v>8</v>
      </c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8"/>
    </row>
    <row r="33" spans="1:13" ht="15.75" x14ac:dyDescent="0.25">
      <c r="A33" s="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8"/>
    </row>
    <row r="34" spans="1:13" ht="15.75" x14ac:dyDescent="0.25">
      <c r="A34" s="3"/>
      <c r="B34" s="50" t="s">
        <v>36</v>
      </c>
      <c r="C34" s="51"/>
      <c r="D34" s="51"/>
      <c r="E34" s="51"/>
      <c r="F34" s="51"/>
      <c r="G34" s="51"/>
      <c r="H34" s="51"/>
      <c r="I34" s="51"/>
      <c r="J34" s="51"/>
      <c r="K34" s="51"/>
      <c r="L34" s="52"/>
      <c r="M34" s="8"/>
    </row>
    <row r="35" spans="1:13" ht="15.75" x14ac:dyDescent="0.25">
      <c r="A35" s="5"/>
      <c r="B35" s="53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8"/>
    </row>
    <row r="36" spans="1:13" ht="15.75" x14ac:dyDescent="0.25">
      <c r="A36" s="5"/>
      <c r="B36" s="56"/>
      <c r="C36" s="57"/>
      <c r="D36" s="57"/>
      <c r="E36" s="57"/>
      <c r="F36" s="57"/>
      <c r="G36" s="57"/>
      <c r="H36" s="57"/>
      <c r="I36" s="57"/>
      <c r="J36" s="57"/>
      <c r="K36" s="57"/>
      <c r="L36" s="58"/>
      <c r="M36" s="8"/>
    </row>
    <row r="37" spans="1:13" ht="15.75" x14ac:dyDescent="0.25">
      <c r="A37" s="5"/>
      <c r="B37" s="9"/>
      <c r="C37" s="9"/>
      <c r="D37" s="9"/>
      <c r="E37" s="9"/>
      <c r="F37" s="9"/>
      <c r="G37" s="9"/>
      <c r="H37" s="9"/>
      <c r="I37" s="8"/>
      <c r="J37" s="8"/>
      <c r="K37" s="8"/>
      <c r="L37" s="8"/>
      <c r="M37" s="8"/>
    </row>
    <row r="38" spans="1:13" ht="15.75" x14ac:dyDescent="0.25">
      <c r="A38" s="7">
        <v>3</v>
      </c>
      <c r="B38" s="15" t="s">
        <v>5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8"/>
    </row>
    <row r="39" spans="1:13" ht="15.75" x14ac:dyDescent="0.25">
      <c r="A39" s="7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8"/>
    </row>
    <row r="40" spans="1:13" ht="15.75" x14ac:dyDescent="0.25">
      <c r="A40" s="5"/>
      <c r="B40" s="40" t="s">
        <v>37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8"/>
    </row>
    <row r="41" spans="1:13" ht="15.75" x14ac:dyDescent="0.25">
      <c r="A41" s="5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8"/>
    </row>
    <row r="42" spans="1:13" ht="15.75" x14ac:dyDescent="0.25">
      <c r="A42" s="5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8"/>
    </row>
    <row r="43" spans="1:13" ht="15.75" x14ac:dyDescent="0.25">
      <c r="A43" s="5"/>
      <c r="B43" s="9"/>
      <c r="C43" s="9"/>
      <c r="D43" s="9"/>
      <c r="E43" s="9"/>
      <c r="F43" s="9"/>
      <c r="G43" s="9"/>
      <c r="H43" s="9"/>
      <c r="I43" s="8"/>
      <c r="J43" s="8"/>
      <c r="K43" s="8"/>
      <c r="L43" s="8"/>
      <c r="M43" s="8"/>
    </row>
    <row r="44" spans="1:13" ht="15.75" x14ac:dyDescent="0.25">
      <c r="A44" s="5"/>
      <c r="B44" s="9"/>
      <c r="C44" s="9"/>
      <c r="D44" s="9"/>
      <c r="E44" s="9"/>
      <c r="F44" s="9"/>
      <c r="G44" s="9"/>
      <c r="H44" s="9"/>
      <c r="I44" s="8"/>
      <c r="J44" s="8"/>
      <c r="K44" s="8"/>
      <c r="L44" s="8"/>
      <c r="M44" s="8"/>
    </row>
    <row r="45" spans="1:13" ht="15.75" x14ac:dyDescent="0.25">
      <c r="A45" s="7">
        <v>4</v>
      </c>
      <c r="B45" s="15" t="s">
        <v>9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8"/>
    </row>
    <row r="46" spans="1:13" ht="15.75" x14ac:dyDescent="0.25">
      <c r="A46" s="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8"/>
    </row>
    <row r="47" spans="1:13" ht="15.75" x14ac:dyDescent="0.25">
      <c r="A47" s="5"/>
      <c r="B47" s="40" t="s">
        <v>38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8"/>
    </row>
    <row r="48" spans="1:13" ht="15.75" x14ac:dyDescent="0.25">
      <c r="A48" s="5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8"/>
    </row>
    <row r="49" spans="1:13" ht="15.75" x14ac:dyDescent="0.25">
      <c r="A49" s="5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8"/>
    </row>
    <row r="50" spans="1:13" ht="15.75" x14ac:dyDescent="0.25">
      <c r="A50" s="5"/>
      <c r="B50" s="9"/>
      <c r="C50" s="9"/>
      <c r="D50" s="9"/>
      <c r="E50" s="9"/>
      <c r="F50" s="9"/>
      <c r="G50" s="9"/>
      <c r="H50" s="9"/>
      <c r="I50" s="8"/>
      <c r="J50" s="8"/>
      <c r="K50" s="8"/>
      <c r="L50" s="8"/>
      <c r="M50" s="8"/>
    </row>
    <row r="51" spans="1:13" ht="15.75" x14ac:dyDescent="0.25">
      <c r="A51" s="5"/>
      <c r="B51" s="9"/>
      <c r="C51" s="9"/>
      <c r="D51" s="9"/>
      <c r="E51" s="9"/>
      <c r="F51" s="9"/>
      <c r="G51" s="9"/>
      <c r="H51" s="9"/>
      <c r="I51" s="8"/>
      <c r="J51" s="8"/>
      <c r="K51" s="8"/>
      <c r="L51" s="8"/>
      <c r="M51" s="8"/>
    </row>
    <row r="52" spans="1:13" ht="15.75" x14ac:dyDescent="0.25">
      <c r="A52" s="7">
        <v>5</v>
      </c>
      <c r="B52" s="15" t="s">
        <v>10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8"/>
    </row>
    <row r="53" spans="1:13" ht="15.75" x14ac:dyDescent="0.25">
      <c r="A53" s="3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8"/>
    </row>
    <row r="54" spans="1:13" ht="15.75" x14ac:dyDescent="0.25">
      <c r="A54" s="3"/>
      <c r="B54" s="40" t="s">
        <v>39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8"/>
    </row>
    <row r="55" spans="1:13" ht="15.75" x14ac:dyDescent="0.25">
      <c r="A55" s="3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8"/>
    </row>
    <row r="56" spans="1:13" ht="15.75" x14ac:dyDescent="0.25">
      <c r="A56" s="3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8"/>
    </row>
    <row r="57" spans="1:13" ht="15.75" x14ac:dyDescent="0.25">
      <c r="A57" s="3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8"/>
    </row>
    <row r="58" spans="1:13" ht="15.75" x14ac:dyDescent="0.25">
      <c r="A58" s="3"/>
      <c r="B58" s="9"/>
      <c r="C58" s="9"/>
      <c r="D58" s="9"/>
      <c r="E58" s="9"/>
      <c r="F58" s="9"/>
      <c r="G58" s="9"/>
      <c r="H58" s="9"/>
      <c r="I58" s="8"/>
      <c r="J58" s="8"/>
      <c r="K58" s="8"/>
      <c r="L58" s="8"/>
      <c r="M58" s="8"/>
    </row>
    <row r="59" spans="1:13" ht="15.75" x14ac:dyDescent="0.25">
      <c r="A59" s="3">
        <v>6</v>
      </c>
      <c r="B59" s="15" t="s">
        <v>7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8"/>
    </row>
    <row r="60" spans="1:13" ht="15.75" x14ac:dyDescent="0.25">
      <c r="A60" s="3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8"/>
    </row>
    <row r="61" spans="1:13" ht="15.75" x14ac:dyDescent="0.25">
      <c r="A61" s="3"/>
      <c r="B61" s="40" t="s">
        <v>40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8"/>
    </row>
    <row r="62" spans="1:13" ht="15.75" x14ac:dyDescent="0.25">
      <c r="A62" s="1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8"/>
    </row>
    <row r="63" spans="1:13" ht="15.75" x14ac:dyDescent="0.25">
      <c r="A63" s="1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8"/>
    </row>
    <row r="64" spans="1:13" ht="15.75" x14ac:dyDescent="0.25">
      <c r="A64" s="1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8"/>
    </row>
    <row r="65" spans="1:13" ht="15.75" x14ac:dyDescent="0.25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 ht="15.75" x14ac:dyDescent="0.25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 ht="15.75" x14ac:dyDescent="0.25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</row>
    <row r="68" spans="1:13" ht="15.75" x14ac:dyDescent="0.25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</row>
    <row r="69" spans="1:13" ht="15.75" x14ac:dyDescent="0.25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</row>
    <row r="70" spans="1:13" ht="15.75" x14ac:dyDescent="0.25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</row>
    <row r="71" spans="1:13" ht="15.75" x14ac:dyDescent="0.25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</row>
    <row r="72" spans="1:13" ht="15.75" x14ac:dyDescent="0.25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ht="15.75" x14ac:dyDescent="0.25">
      <c r="A73" s="3"/>
      <c r="B73" s="3"/>
      <c r="C73" s="3"/>
      <c r="D73" s="3"/>
      <c r="E73" s="3"/>
      <c r="F73" s="3"/>
      <c r="G73" s="3"/>
      <c r="H73" s="3"/>
      <c r="I73" s="2"/>
      <c r="J73" s="2"/>
      <c r="K73" s="2"/>
      <c r="L73" s="2"/>
      <c r="M73" s="16"/>
    </row>
    <row r="74" spans="1:13" ht="15.75" x14ac:dyDescent="0.25">
      <c r="A74" s="3"/>
      <c r="B74" s="3"/>
      <c r="C74" s="3"/>
      <c r="D74" s="3"/>
      <c r="E74" s="3"/>
      <c r="F74" s="3"/>
      <c r="G74" s="3"/>
      <c r="H74" s="3"/>
      <c r="I74" s="2"/>
      <c r="J74" s="2"/>
      <c r="K74" s="2"/>
      <c r="L74" s="2"/>
      <c r="M74" s="16"/>
    </row>
  </sheetData>
  <mergeCells count="9">
    <mergeCell ref="B47:L49"/>
    <mergeCell ref="B9:I9"/>
    <mergeCell ref="B6:L7"/>
    <mergeCell ref="B18:I18"/>
    <mergeCell ref="B61:L64"/>
    <mergeCell ref="B29:L30"/>
    <mergeCell ref="B34:L36"/>
    <mergeCell ref="B54:L57"/>
    <mergeCell ref="B40:L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data_2</vt:lpstr>
      <vt:lpstr>Отчет_2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Рябых</dc:creator>
  <cp:lastModifiedBy>Peter</cp:lastModifiedBy>
  <dcterms:created xsi:type="dcterms:W3CDTF">2020-03-09T04:42:45Z</dcterms:created>
  <dcterms:modified xsi:type="dcterms:W3CDTF">2026-10-06T17:23:46Z</dcterms:modified>
</cp:coreProperties>
</file>