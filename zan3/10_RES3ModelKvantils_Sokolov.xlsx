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odInf\zan3\"/>
    </mc:Choice>
  </mc:AlternateContent>
  <xr:revisionPtr revIDLastSave="0" documentId="13_ncr:1_{9F61447E-2668-45EA-AC7E-CC3B401B19F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at_3" sheetId="4" r:id="rId1"/>
    <sheet name="Лист1" sheetId="5" state="hidden" r:id="rId2"/>
    <sheet name="Квантили, графики_3" sheetId="2" r:id="rId3"/>
    <sheet name="Отчет" sheetId="3" r:id="rId4"/>
  </sheets>
  <calcPr calcId="191029" iterate="1" iterateCount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2" i="2" l="1"/>
  <c r="Q11" i="2"/>
  <c r="Q10" i="2"/>
  <c r="Q9" i="2"/>
  <c r="Q8" i="2"/>
  <c r="O12" i="2"/>
  <c r="O11" i="2"/>
  <c r="O10" i="2"/>
  <c r="O9" i="2"/>
  <c r="O8" i="2"/>
  <c r="Q13" i="2"/>
  <c r="Q7" i="2"/>
  <c r="O13" i="2"/>
  <c r="O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7" i="2"/>
</calcChain>
</file>

<file path=xl/sharedStrings.xml><?xml version="1.0" encoding="utf-8"?>
<sst xmlns="http://schemas.openxmlformats.org/spreadsheetml/2006/main" count="59" uniqueCount="42">
  <si>
    <t>Процентов от числа значений</t>
  </si>
  <si>
    <t>Минимум</t>
  </si>
  <si>
    <t>Нижний дециль</t>
  </si>
  <si>
    <t>Нижний квартиль</t>
  </si>
  <si>
    <t>Медиана</t>
  </si>
  <si>
    <t>Верхний дециль</t>
  </si>
  <si>
    <t>Верхний квартиль</t>
  </si>
  <si>
    <t>Максмум</t>
  </si>
  <si>
    <t>Ранжированный ряд,огива.Кванили,график квантилей</t>
  </si>
  <si>
    <t>i/(n+1)</t>
  </si>
  <si>
    <t>Квантиль</t>
  </si>
  <si>
    <t>группа</t>
  </si>
  <si>
    <t>вариант</t>
  </si>
  <si>
    <t>Что такое квантиль ( дать определение)</t>
  </si>
  <si>
    <t>Что такое медиана?</t>
  </si>
  <si>
    <t xml:space="preserve"> Что можно сказать про данные, если медиана сильно отличается от среднего арифметического?</t>
  </si>
  <si>
    <t>Единицы</t>
  </si>
  <si>
    <t>Зависит ли возможность использовать «квантильное» представление данных от нормальности  распределения данных ?</t>
  </si>
  <si>
    <t>Похожи ли графики для свойства 1?</t>
  </si>
  <si>
    <t>Похожи ли графики для свойства 2?</t>
  </si>
  <si>
    <t>Что показывает кумулята (огива)?</t>
  </si>
  <si>
    <t>Отчет по заданию 3</t>
  </si>
  <si>
    <t>В каких случаях и для каких целей используются квантили? Почему квантили - это свертки информации?</t>
  </si>
  <si>
    <t>Что такое гистограмма?</t>
  </si>
  <si>
    <t>Что такое коробочка с усиками?</t>
  </si>
  <si>
    <t>Мощность А2, см</t>
  </si>
  <si>
    <t>K2O, мг/100г</t>
  </si>
  <si>
    <t>Соколов Пётр Сергеевич</t>
  </si>
  <si>
    <t>вариант 10</t>
  </si>
  <si>
    <t>см</t>
  </si>
  <si>
    <t>мг/100г</t>
  </si>
  <si>
    <t>Да</t>
  </si>
  <si>
    <t>Соколов Пётр СергеевичО</t>
  </si>
  <si>
    <t>21-26</t>
  </si>
  <si>
    <t xml:space="preserve">КВАНТИЛЬ -γ-  это такое значение случайной величины, меньше 
которого в ранжированном ряду содержится γ *100% всего числа значений </t>
  </si>
  <si>
    <t>Квантиль, делящий ранжированную совокупность на две равные по числу 
половины, называется медианой</t>
  </si>
  <si>
    <t>Выбросы в данных или большой разброс</t>
  </si>
  <si>
    <t>Квантили используют для свертки информации. Представление о 
распределении случайной величины можно получить по 7 точкам.</t>
  </si>
  <si>
    <t>График с минимумом, первым квантилем, медианой, вторым квантилем и максимумом</t>
  </si>
  <si>
    <t>Нет, не зависит, можно использовать квантильное распределение для любых данных</t>
  </si>
  <si>
    <t>Накопление относительных частот (от 0 до 1 или от 0% до 100%)</t>
  </si>
  <si>
    <t>это графическое представление распределения 
сгруппированной переменной, на котором для каждого класса рисуется 
столбец, высота которого пропорциональна  наблюдаемой частоте для данного 
класса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</si>
</sst>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4"/>
      <name val="Arial"/>
      <family val="2"/>
      <charset val="204"/>
    </font>
    <font>
      <sz val="14"/>
      <color theme="1"/>
      <name val="Calibri"/>
      <family val="2"/>
      <charset val="204"/>
      <scheme val="minor"/>
    </font>
    <font>
      <sz val="11"/>
      <name val="Arial"/>
      <family val="2"/>
      <charset val="204"/>
    </font>
    <font>
      <i/>
      <sz val="11"/>
      <color rgb="FFFF0000"/>
      <name val="Calibri"/>
      <family val="2"/>
      <charset val="204"/>
      <scheme val="minor"/>
    </font>
    <font>
      <i/>
      <sz val="14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2" fontId="1" fillId="0" borderId="0" xfId="0" applyNumberFormat="1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Border="1"/>
    <xf numFmtId="0" fontId="3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165" fontId="0" fillId="0" borderId="1" xfId="0" applyNumberFormat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0" fontId="6" fillId="0" borderId="0" xfId="0" applyFont="1"/>
    <xf numFmtId="0" fontId="6" fillId="0" borderId="0" xfId="0" applyFont="1" applyBorder="1"/>
    <xf numFmtId="0" fontId="3" fillId="0" borderId="0" xfId="0" applyFont="1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64" fontId="5" fillId="0" borderId="0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Fill="1" applyBorder="1" applyAlignment="1"/>
    <xf numFmtId="0" fontId="0" fillId="0" borderId="0" xfId="0" applyAlignment="1">
      <alignment vertical="center"/>
    </xf>
    <xf numFmtId="2" fontId="4" fillId="2" borderId="1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1" xfId="0" applyNumberFormat="1" applyBorder="1" applyAlignment="1">
      <alignment vertical="center" wrapText="1"/>
    </xf>
    <xf numFmtId="0" fontId="1" fillId="0" borderId="0" xfId="0" applyFont="1" applyBorder="1" applyAlignment="1">
      <alignment horizontal="center" vertical="top" wrapText="1"/>
    </xf>
    <xf numFmtId="1" fontId="1" fillId="0" borderId="0" xfId="0" applyNumberFormat="1" applyFon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top" wrapText="1"/>
    </xf>
    <xf numFmtId="2" fontId="0" fillId="0" borderId="0" xfId="0" applyNumberFormat="1"/>
    <xf numFmtId="1" fontId="0" fillId="0" borderId="0" xfId="0" applyNumberFormat="1"/>
    <xf numFmtId="0" fontId="8" fillId="0" borderId="0" xfId="0" applyFont="1" applyBorder="1"/>
    <xf numFmtId="0" fontId="8" fillId="0" borderId="0" xfId="0" applyFont="1"/>
    <xf numFmtId="0" fontId="9" fillId="0" borderId="0" xfId="0" applyFont="1"/>
    <xf numFmtId="2" fontId="0" fillId="2" borderId="1" xfId="0" applyNumberFormat="1" applyFill="1" applyBorder="1" applyAlignment="1">
      <alignment vertical="center" wrapText="1"/>
    </xf>
    <xf numFmtId="2" fontId="0" fillId="2" borderId="1" xfId="0" applyNumberFormat="1" applyFill="1" applyBorder="1" applyAlignment="1">
      <alignment horizontal="center" vertical="top" wrapText="1"/>
    </xf>
    <xf numFmtId="1" fontId="0" fillId="2" borderId="1" xfId="0" applyNumberFormat="1" applyFill="1" applyBorder="1" applyAlignment="1">
      <alignment vertical="top" wrapText="1"/>
    </xf>
    <xf numFmtId="2" fontId="0" fillId="2" borderId="1" xfId="0" applyNumberForma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164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8" fillId="0" borderId="0" xfId="0" applyFont="1" applyFill="1"/>
    <xf numFmtId="0" fontId="0" fillId="0" borderId="0" xfId="0" applyFill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0" fillId="0" borderId="0" xfId="0" applyFont="1" applyBorder="1"/>
    <xf numFmtId="164" fontId="0" fillId="0" borderId="1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квантилей для мощности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'Квантили, графики_3'!$O$7:$O$13</c:f>
              <c:numCache>
                <c:formatCode>0.00</c:formatCode>
                <c:ptCount val="7"/>
                <c:pt idx="0">
                  <c:v>2.8</c:v>
                </c:pt>
                <c:pt idx="1">
                  <c:v>3.7800000000000002</c:v>
                </c:pt>
                <c:pt idx="2">
                  <c:v>5.4</c:v>
                </c:pt>
                <c:pt idx="3">
                  <c:v>6</c:v>
                </c:pt>
                <c:pt idx="4">
                  <c:v>7.2</c:v>
                </c:pt>
                <c:pt idx="5">
                  <c:v>7.9</c:v>
                </c:pt>
                <c:pt idx="6">
                  <c:v>8.6999999999999993</c:v>
                </c:pt>
              </c:numCache>
            </c:numRef>
          </c:xVal>
          <c:yVal>
            <c:numRef>
              <c:f>'Квантили, графики_3'!$S$7:$S$13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90</c:v>
                </c:pt>
                <c:pt idx="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24-4B3E-A83F-144E9BFA3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9915584"/>
        <c:axId val="1549910784"/>
      </c:scatterChart>
      <c:valAx>
        <c:axId val="1549915584"/>
        <c:scaling>
          <c:orientation val="minMax"/>
          <c:max val="9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Мощность А2, см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9910784"/>
        <c:crosses val="autoZero"/>
        <c:crossBetween val="midCat"/>
      </c:valAx>
      <c:valAx>
        <c:axId val="154991078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Квантили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991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квантилей для калия</a:t>
            </a:r>
          </a:p>
        </c:rich>
      </c:tx>
      <c:layout>
        <c:manualLayout>
          <c:xMode val="edge"/>
          <c:yMode val="edge"/>
          <c:x val="0.3122360017497812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'Квантили, графики_3'!$Q$7:$Q$13</c:f>
              <c:numCache>
                <c:formatCode>0</c:formatCode>
                <c:ptCount val="7"/>
                <c:pt idx="0">
                  <c:v>1</c:v>
                </c:pt>
                <c:pt idx="1">
                  <c:v>9.4</c:v>
                </c:pt>
                <c:pt idx="2">
                  <c:v>13</c:v>
                </c:pt>
                <c:pt idx="3">
                  <c:v>18</c:v>
                </c:pt>
                <c:pt idx="4">
                  <c:v>22</c:v>
                </c:pt>
                <c:pt idx="5">
                  <c:v>25.6</c:v>
                </c:pt>
                <c:pt idx="6">
                  <c:v>30</c:v>
                </c:pt>
              </c:numCache>
            </c:numRef>
          </c:xVal>
          <c:yVal>
            <c:numRef>
              <c:f>'Квантили, графики_3'!$S$7:$S$13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90</c:v>
                </c:pt>
                <c:pt idx="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8A-4B86-B63A-91BC4832F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9893024"/>
        <c:axId val="1549917504"/>
      </c:scatterChart>
      <c:valAx>
        <c:axId val="154989302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K2O, </a:t>
                </a:r>
                <a:r>
                  <a:rPr lang="ru-RU"/>
                  <a:t>мг/100г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9917504"/>
        <c:crosses val="autoZero"/>
        <c:crossBetween val="midCat"/>
      </c:valAx>
      <c:valAx>
        <c:axId val="15499175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Квантили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9893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Огива</a:t>
            </a:r>
            <a:r>
              <a:rPr lang="ru-RU" baseline="0"/>
              <a:t> для мощности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'Квантили, графики_3'!$B$7:$B$31</c:f>
              <c:numCache>
                <c:formatCode>0.0</c:formatCode>
                <c:ptCount val="25"/>
                <c:pt idx="0">
                  <c:v>2.8</c:v>
                </c:pt>
                <c:pt idx="1">
                  <c:v>3</c:v>
                </c:pt>
                <c:pt idx="2">
                  <c:v>3.5</c:v>
                </c:pt>
                <c:pt idx="3">
                  <c:v>4.2</c:v>
                </c:pt>
                <c:pt idx="4">
                  <c:v>5.0999999999999996</c:v>
                </c:pt>
                <c:pt idx="5">
                  <c:v>5.4</c:v>
                </c:pt>
                <c:pt idx="6">
                  <c:v>5.4</c:v>
                </c:pt>
                <c:pt idx="7">
                  <c:v>5.4</c:v>
                </c:pt>
                <c:pt idx="8">
                  <c:v>5.5</c:v>
                </c:pt>
                <c:pt idx="9">
                  <c:v>5.5</c:v>
                </c:pt>
                <c:pt idx="10">
                  <c:v>5.6</c:v>
                </c:pt>
                <c:pt idx="11">
                  <c:v>5.7</c:v>
                </c:pt>
                <c:pt idx="12">
                  <c:v>6</c:v>
                </c:pt>
                <c:pt idx="13">
                  <c:v>6.2</c:v>
                </c:pt>
                <c:pt idx="14">
                  <c:v>6.3</c:v>
                </c:pt>
                <c:pt idx="15">
                  <c:v>6.3</c:v>
                </c:pt>
                <c:pt idx="16">
                  <c:v>6.7</c:v>
                </c:pt>
                <c:pt idx="17">
                  <c:v>6.9</c:v>
                </c:pt>
                <c:pt idx="18">
                  <c:v>7.2</c:v>
                </c:pt>
                <c:pt idx="19">
                  <c:v>7.3</c:v>
                </c:pt>
                <c:pt idx="20">
                  <c:v>7.5</c:v>
                </c:pt>
                <c:pt idx="21">
                  <c:v>7.9</c:v>
                </c:pt>
                <c:pt idx="22">
                  <c:v>7.9</c:v>
                </c:pt>
                <c:pt idx="23">
                  <c:v>8.6</c:v>
                </c:pt>
                <c:pt idx="24">
                  <c:v>8.6999999999999993</c:v>
                </c:pt>
              </c:numCache>
            </c:numRef>
          </c:xVal>
          <c:yVal>
            <c:numRef>
              <c:f>'Квантили, графики_3'!$D$7:$D$31</c:f>
              <c:numCache>
                <c:formatCode>0.000</c:formatCode>
                <c:ptCount val="25"/>
                <c:pt idx="0">
                  <c:v>3.8461538461538464E-2</c:v>
                </c:pt>
                <c:pt idx="1">
                  <c:v>7.6923076923076927E-2</c:v>
                </c:pt>
                <c:pt idx="2">
                  <c:v>0.11538461538461539</c:v>
                </c:pt>
                <c:pt idx="3">
                  <c:v>0.15384615384615385</c:v>
                </c:pt>
                <c:pt idx="4">
                  <c:v>0.19230769230769232</c:v>
                </c:pt>
                <c:pt idx="5">
                  <c:v>0.23076923076923078</c:v>
                </c:pt>
                <c:pt idx="6">
                  <c:v>0.26923076923076922</c:v>
                </c:pt>
                <c:pt idx="7">
                  <c:v>0.30769230769230771</c:v>
                </c:pt>
                <c:pt idx="8">
                  <c:v>0.34615384615384615</c:v>
                </c:pt>
                <c:pt idx="9">
                  <c:v>0.38461538461538464</c:v>
                </c:pt>
                <c:pt idx="10">
                  <c:v>0.42307692307692307</c:v>
                </c:pt>
                <c:pt idx="11">
                  <c:v>0.46153846153846156</c:v>
                </c:pt>
                <c:pt idx="12">
                  <c:v>0.5</c:v>
                </c:pt>
                <c:pt idx="13">
                  <c:v>0.53846153846153844</c:v>
                </c:pt>
                <c:pt idx="14">
                  <c:v>0.57692307692307687</c:v>
                </c:pt>
                <c:pt idx="15">
                  <c:v>0.61538461538461542</c:v>
                </c:pt>
                <c:pt idx="16">
                  <c:v>0.65384615384615385</c:v>
                </c:pt>
                <c:pt idx="17">
                  <c:v>0.69230769230769229</c:v>
                </c:pt>
                <c:pt idx="18">
                  <c:v>0.73076923076923073</c:v>
                </c:pt>
                <c:pt idx="19">
                  <c:v>0.76923076923076927</c:v>
                </c:pt>
                <c:pt idx="20">
                  <c:v>0.80769230769230771</c:v>
                </c:pt>
                <c:pt idx="21">
                  <c:v>0.84615384615384615</c:v>
                </c:pt>
                <c:pt idx="22">
                  <c:v>0.88461538461538458</c:v>
                </c:pt>
                <c:pt idx="23">
                  <c:v>0.92307692307692313</c:v>
                </c:pt>
                <c:pt idx="24">
                  <c:v>0.96153846153846156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A6-4561-8E99-210DAA0CC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048176"/>
        <c:axId val="1547045296"/>
      </c:scatterChart>
      <c:valAx>
        <c:axId val="1547048176"/>
        <c:scaling>
          <c:orientation val="minMax"/>
          <c:max val="9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Мощность А2, см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7045296"/>
        <c:crosses val="autoZero"/>
        <c:crossBetween val="midCat"/>
      </c:valAx>
      <c:valAx>
        <c:axId val="15470452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Накопление</a:t>
                </a:r>
                <a:r>
                  <a:rPr lang="ru-RU" baseline="0"/>
                  <a:t> частоты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704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Огива для калия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'Квантили, графики_3'!$C$7:$C$31</c:f>
              <c:numCache>
                <c:formatCode>0</c:formatCode>
                <c:ptCount val="25"/>
                <c:pt idx="0">
                  <c:v>1</c:v>
                </c:pt>
                <c:pt idx="1">
                  <c:v>9</c:v>
                </c:pt>
                <c:pt idx="2">
                  <c:v>9</c:v>
                </c:pt>
                <c:pt idx="3">
                  <c:v>10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15</c:v>
                </c:pt>
                <c:pt idx="8">
                  <c:v>16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18</c:v>
                </c:pt>
                <c:pt idx="13">
                  <c:v>19</c:v>
                </c:pt>
                <c:pt idx="14">
                  <c:v>19</c:v>
                </c:pt>
                <c:pt idx="15">
                  <c:v>20</c:v>
                </c:pt>
                <c:pt idx="16">
                  <c:v>20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25</c:v>
                </c:pt>
                <c:pt idx="21">
                  <c:v>25</c:v>
                </c:pt>
                <c:pt idx="22">
                  <c:v>26</c:v>
                </c:pt>
                <c:pt idx="23">
                  <c:v>29</c:v>
                </c:pt>
                <c:pt idx="24">
                  <c:v>30</c:v>
                </c:pt>
              </c:numCache>
            </c:numRef>
          </c:xVal>
          <c:yVal>
            <c:numRef>
              <c:f>'Квантили, графики_3'!$D$7:$D$31</c:f>
              <c:numCache>
                <c:formatCode>0.000</c:formatCode>
                <c:ptCount val="25"/>
                <c:pt idx="0">
                  <c:v>3.8461538461538464E-2</c:v>
                </c:pt>
                <c:pt idx="1">
                  <c:v>7.6923076923076927E-2</c:v>
                </c:pt>
                <c:pt idx="2">
                  <c:v>0.11538461538461539</c:v>
                </c:pt>
                <c:pt idx="3">
                  <c:v>0.15384615384615385</c:v>
                </c:pt>
                <c:pt idx="4">
                  <c:v>0.19230769230769232</c:v>
                </c:pt>
                <c:pt idx="5">
                  <c:v>0.23076923076923078</c:v>
                </c:pt>
                <c:pt idx="6">
                  <c:v>0.26923076923076922</c:v>
                </c:pt>
                <c:pt idx="7">
                  <c:v>0.30769230769230771</c:v>
                </c:pt>
                <c:pt idx="8">
                  <c:v>0.34615384615384615</c:v>
                </c:pt>
                <c:pt idx="9">
                  <c:v>0.38461538461538464</c:v>
                </c:pt>
                <c:pt idx="10">
                  <c:v>0.42307692307692307</c:v>
                </c:pt>
                <c:pt idx="11">
                  <c:v>0.46153846153846156</c:v>
                </c:pt>
                <c:pt idx="12">
                  <c:v>0.5</c:v>
                </c:pt>
                <c:pt idx="13">
                  <c:v>0.53846153846153844</c:v>
                </c:pt>
                <c:pt idx="14">
                  <c:v>0.57692307692307687</c:v>
                </c:pt>
                <c:pt idx="15">
                  <c:v>0.61538461538461542</c:v>
                </c:pt>
                <c:pt idx="16">
                  <c:v>0.65384615384615385</c:v>
                </c:pt>
                <c:pt idx="17">
                  <c:v>0.69230769230769229</c:v>
                </c:pt>
                <c:pt idx="18">
                  <c:v>0.73076923076923073</c:v>
                </c:pt>
                <c:pt idx="19">
                  <c:v>0.76923076923076927</c:v>
                </c:pt>
                <c:pt idx="20">
                  <c:v>0.80769230769230771</c:v>
                </c:pt>
                <c:pt idx="21">
                  <c:v>0.84615384615384615</c:v>
                </c:pt>
                <c:pt idx="22">
                  <c:v>0.88461538461538458</c:v>
                </c:pt>
                <c:pt idx="23">
                  <c:v>0.92307692307692313</c:v>
                </c:pt>
                <c:pt idx="24">
                  <c:v>0.96153846153846156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82-47A9-88F3-0A37D92ED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070256"/>
        <c:axId val="1547070736"/>
      </c:scatterChart>
      <c:valAx>
        <c:axId val="154707025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K2O, </a:t>
                </a:r>
                <a:r>
                  <a:rPr lang="ru-RU"/>
                  <a:t>мг/100г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7070736"/>
        <c:crosses val="autoZero"/>
        <c:crossBetween val="midCat"/>
      </c:valAx>
      <c:valAx>
        <c:axId val="15470707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Накопление</a:t>
                </a:r>
                <a:r>
                  <a:rPr lang="ru-RU" baseline="0"/>
                  <a:t> частоты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707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7621</xdr:colOff>
      <xdr:row>14</xdr:row>
      <xdr:rowOff>6569</xdr:rowOff>
    </xdr:from>
    <xdr:to>
      <xdr:col>12</xdr:col>
      <xdr:colOff>2578</xdr:colOff>
      <xdr:row>27</xdr:row>
      <xdr:rowOff>39336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BBA88C0-423A-897E-B5E6-80E9AE21E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6569</xdr:colOff>
      <xdr:row>27</xdr:row>
      <xdr:rowOff>41242</xdr:rowOff>
    </xdr:from>
    <xdr:to>
      <xdr:col>12</xdr:col>
      <xdr:colOff>887</xdr:colOff>
      <xdr:row>40</xdr:row>
      <xdr:rowOff>124810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D65836B-ABA9-3C07-1DDC-84D9730BE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</xdr:colOff>
      <xdr:row>14</xdr:row>
      <xdr:rowOff>6950</xdr:rowOff>
    </xdr:from>
    <xdr:to>
      <xdr:col>16</xdr:col>
      <xdr:colOff>539751</xdr:colOff>
      <xdr:row>27</xdr:row>
      <xdr:rowOff>40967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69F2DB0-2FB8-963E-649B-DD71D29B7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4081</xdr:colOff>
      <xdr:row>27</xdr:row>
      <xdr:rowOff>41240</xdr:rowOff>
    </xdr:from>
    <xdr:to>
      <xdr:col>16</xdr:col>
      <xdr:colOff>541734</xdr:colOff>
      <xdr:row>40</xdr:row>
      <xdr:rowOff>132532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2744264-8F39-C5EA-5447-92ED96D93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zoomScaleNormal="100" workbookViewId="0">
      <selection activeCell="N13" sqref="N13"/>
    </sheetView>
  </sheetViews>
  <sheetFormatPr defaultRowHeight="15" x14ac:dyDescent="0.25"/>
  <cols>
    <col min="1" max="1" width="16" customWidth="1"/>
    <col min="2" max="2" width="20.28515625" customWidth="1"/>
    <col min="6" max="6" width="21.140625" bestFit="1" customWidth="1"/>
  </cols>
  <sheetData>
    <row r="1" spans="1:2" ht="25.5" x14ac:dyDescent="0.25">
      <c r="A1" s="48" t="s">
        <v>25</v>
      </c>
      <c r="B1" s="48" t="s">
        <v>26</v>
      </c>
    </row>
    <row r="2" spans="1:2" x14ac:dyDescent="0.25">
      <c r="A2" s="49">
        <v>5.4</v>
      </c>
      <c r="B2" s="50">
        <v>18</v>
      </c>
    </row>
    <row r="3" spans="1:2" x14ac:dyDescent="0.25">
      <c r="A3" s="49">
        <v>7.3</v>
      </c>
      <c r="B3" s="50">
        <v>17</v>
      </c>
    </row>
    <row r="4" spans="1:2" x14ac:dyDescent="0.25">
      <c r="A4" s="49">
        <v>6.3</v>
      </c>
      <c r="B4" s="50">
        <v>10</v>
      </c>
    </row>
    <row r="5" spans="1:2" x14ac:dyDescent="0.25">
      <c r="A5" s="49">
        <v>6.9</v>
      </c>
      <c r="B5" s="50">
        <v>13</v>
      </c>
    </row>
    <row r="6" spans="1:2" x14ac:dyDescent="0.25">
      <c r="A6" s="49">
        <v>6</v>
      </c>
      <c r="B6" s="50">
        <v>30</v>
      </c>
    </row>
    <row r="7" spans="1:2" x14ac:dyDescent="0.25">
      <c r="A7" s="49">
        <v>5.6</v>
      </c>
      <c r="B7" s="50">
        <v>16</v>
      </c>
    </row>
    <row r="8" spans="1:2" x14ac:dyDescent="0.25">
      <c r="A8" s="49">
        <v>3</v>
      </c>
      <c r="B8" s="50">
        <v>22</v>
      </c>
    </row>
    <row r="9" spans="1:2" x14ac:dyDescent="0.25">
      <c r="A9" s="49">
        <v>5.4</v>
      </c>
      <c r="B9" s="50">
        <v>22</v>
      </c>
    </row>
    <row r="10" spans="1:2" x14ac:dyDescent="0.25">
      <c r="A10" s="49">
        <v>8.6999999999999993</v>
      </c>
      <c r="B10" s="50">
        <v>12</v>
      </c>
    </row>
    <row r="11" spans="1:2" x14ac:dyDescent="0.25">
      <c r="A11" s="49">
        <v>5.5</v>
      </c>
      <c r="B11" s="50">
        <v>25</v>
      </c>
    </row>
    <row r="12" spans="1:2" x14ac:dyDescent="0.25">
      <c r="A12" s="49">
        <v>7.5</v>
      </c>
      <c r="B12" s="50">
        <v>1</v>
      </c>
    </row>
    <row r="13" spans="1:2" x14ac:dyDescent="0.25">
      <c r="A13" s="49">
        <v>3.5</v>
      </c>
      <c r="B13" s="50">
        <v>25</v>
      </c>
    </row>
    <row r="14" spans="1:2" x14ac:dyDescent="0.25">
      <c r="A14" s="49">
        <v>6.7</v>
      </c>
      <c r="B14" s="50">
        <v>15</v>
      </c>
    </row>
    <row r="15" spans="1:2" x14ac:dyDescent="0.25">
      <c r="A15" s="49">
        <v>2.8</v>
      </c>
      <c r="B15" s="50">
        <v>19</v>
      </c>
    </row>
    <row r="16" spans="1:2" x14ac:dyDescent="0.25">
      <c r="A16" s="49">
        <v>5.4</v>
      </c>
      <c r="B16" s="50">
        <v>29</v>
      </c>
    </row>
    <row r="17" spans="1:2" x14ac:dyDescent="0.25">
      <c r="A17" s="49">
        <v>6.3</v>
      </c>
      <c r="B17" s="50">
        <v>20</v>
      </c>
    </row>
    <row r="18" spans="1:2" x14ac:dyDescent="0.25">
      <c r="A18" s="49">
        <v>6.2</v>
      </c>
      <c r="B18" s="50">
        <v>18</v>
      </c>
    </row>
    <row r="19" spans="1:2" x14ac:dyDescent="0.25">
      <c r="A19" s="49">
        <v>5.5</v>
      </c>
      <c r="B19" s="50">
        <v>9</v>
      </c>
    </row>
    <row r="20" spans="1:2" x14ac:dyDescent="0.25">
      <c r="A20" s="49">
        <v>7.9</v>
      </c>
      <c r="B20" s="50">
        <v>20</v>
      </c>
    </row>
    <row r="21" spans="1:2" x14ac:dyDescent="0.25">
      <c r="A21" s="49">
        <v>5.0999999999999996</v>
      </c>
      <c r="B21" s="50">
        <v>26</v>
      </c>
    </row>
    <row r="22" spans="1:2" x14ac:dyDescent="0.25">
      <c r="A22" s="49">
        <v>5.7</v>
      </c>
      <c r="B22" s="50">
        <v>19</v>
      </c>
    </row>
    <row r="23" spans="1:2" x14ac:dyDescent="0.25">
      <c r="A23" s="49">
        <v>7.9</v>
      </c>
      <c r="B23" s="50">
        <v>13</v>
      </c>
    </row>
    <row r="24" spans="1:2" x14ac:dyDescent="0.25">
      <c r="A24" s="49">
        <v>4.2</v>
      </c>
      <c r="B24" s="50">
        <v>22</v>
      </c>
    </row>
    <row r="25" spans="1:2" x14ac:dyDescent="0.25">
      <c r="A25" s="49">
        <v>7.2</v>
      </c>
      <c r="B25" s="50">
        <v>9</v>
      </c>
    </row>
    <row r="26" spans="1:2" x14ac:dyDescent="0.25">
      <c r="A26" s="49">
        <v>8.6</v>
      </c>
      <c r="B26" s="50">
        <v>16</v>
      </c>
    </row>
  </sheetData>
  <sortState xmlns:xlrd2="http://schemas.microsoft.com/office/spreadsheetml/2017/richdata2" ref="D2:E26">
    <sortCondition ref="E2:E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3D84-CB87-45FC-8616-3BF8A431A4B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4"/>
  <sheetViews>
    <sheetView topLeftCell="A5" zoomScale="85" zoomScaleNormal="85" workbookViewId="0">
      <selection activeCell="R22" sqref="R22"/>
    </sheetView>
  </sheetViews>
  <sheetFormatPr defaultRowHeight="15" x14ac:dyDescent="0.25"/>
  <cols>
    <col min="2" max="3" width="11.85546875" customWidth="1"/>
    <col min="4" max="4" width="10.140625" customWidth="1"/>
    <col min="7" max="7" width="11" customWidth="1"/>
    <col min="14" max="14" width="25.85546875" customWidth="1"/>
    <col min="15" max="16" width="11.42578125" customWidth="1"/>
    <col min="17" max="18" width="11.140625" customWidth="1"/>
    <col min="19" max="19" width="16.85546875" customWidth="1"/>
  </cols>
  <sheetData>
    <row r="1" spans="1:29" s="11" customFormat="1" ht="15.75" x14ac:dyDescent="0.25">
      <c r="A1" s="10" t="s">
        <v>21</v>
      </c>
      <c r="D1" s="12"/>
      <c r="E1" s="12"/>
      <c r="F1" s="12"/>
      <c r="G1" s="12"/>
      <c r="H1" s="12"/>
      <c r="I1" s="12"/>
      <c r="J1" s="12"/>
      <c r="K1" s="12"/>
      <c r="L1" s="12"/>
    </row>
    <row r="2" spans="1:29" s="11" customFormat="1" ht="15.75" x14ac:dyDescent="0.25">
      <c r="A2" s="10" t="s">
        <v>27</v>
      </c>
      <c r="D2" s="12"/>
      <c r="E2" s="12"/>
      <c r="F2" s="12"/>
      <c r="G2" s="12"/>
      <c r="H2" s="12"/>
      <c r="I2" s="12"/>
      <c r="J2" s="12"/>
      <c r="K2" s="12"/>
      <c r="L2" s="12"/>
    </row>
    <row r="3" spans="1:29" s="11" customFormat="1" ht="15.75" x14ac:dyDescent="0.25">
      <c r="A3" s="15" t="s">
        <v>28</v>
      </c>
      <c r="B3" s="16"/>
      <c r="C3" s="12"/>
      <c r="D3" s="12"/>
      <c r="F3" s="12"/>
      <c r="G3" s="12"/>
      <c r="H3" s="12"/>
      <c r="I3" s="12"/>
      <c r="J3" s="12"/>
      <c r="K3" s="12"/>
      <c r="L3" s="12"/>
    </row>
    <row r="4" spans="1:29" ht="31.7" customHeight="1" x14ac:dyDescent="0.25">
      <c r="A4" s="55" t="s">
        <v>8</v>
      </c>
      <c r="B4" s="23"/>
      <c r="C4" s="24"/>
      <c r="D4" s="24"/>
      <c r="U4" s="30"/>
    </row>
    <row r="5" spans="1:29" ht="31.7" customHeight="1" x14ac:dyDescent="0.25">
      <c r="A5" s="6"/>
      <c r="B5" s="6"/>
      <c r="C5" s="6"/>
      <c r="D5" s="6"/>
      <c r="O5" s="42"/>
    </row>
    <row r="6" spans="1:29" ht="26.25" customHeight="1" x14ac:dyDescent="0.25">
      <c r="A6" s="13"/>
      <c r="B6" s="48" t="s">
        <v>25</v>
      </c>
      <c r="C6" s="48" t="s">
        <v>26</v>
      </c>
      <c r="D6" s="1" t="s">
        <v>9</v>
      </c>
      <c r="F6" s="32"/>
      <c r="G6" s="35"/>
      <c r="H6" s="7"/>
      <c r="I6" s="33"/>
      <c r="K6" s="39"/>
      <c r="L6" s="39"/>
      <c r="N6" s="3" t="s">
        <v>10</v>
      </c>
      <c r="O6" s="34"/>
      <c r="P6" s="14" t="s">
        <v>16</v>
      </c>
      <c r="Q6" s="3"/>
      <c r="R6" s="31" t="s">
        <v>16</v>
      </c>
      <c r="S6" s="3" t="s">
        <v>0</v>
      </c>
    </row>
    <row r="7" spans="1:29" ht="15.75" x14ac:dyDescent="0.25">
      <c r="A7" s="13">
        <v>1</v>
      </c>
      <c r="B7" s="56">
        <v>2.8</v>
      </c>
      <c r="C7" s="50">
        <v>1</v>
      </c>
      <c r="D7" s="18">
        <f>A7/26</f>
        <v>3.8461538461538464E-2</v>
      </c>
      <c r="F7" s="32"/>
      <c r="G7" s="36"/>
      <c r="H7" s="9"/>
      <c r="I7" s="37"/>
      <c r="N7" s="2" t="s">
        <v>1</v>
      </c>
      <c r="O7" s="44">
        <f>MIN(B7:B31)</f>
        <v>2.8</v>
      </c>
      <c r="P7" s="45" t="s">
        <v>29</v>
      </c>
      <c r="Q7" s="46">
        <f>MIN(C7:C31)</f>
        <v>1</v>
      </c>
      <c r="R7" s="38" t="s">
        <v>30</v>
      </c>
      <c r="S7" s="17">
        <v>0</v>
      </c>
    </row>
    <row r="8" spans="1:29" ht="15.75" x14ac:dyDescent="0.25">
      <c r="A8" s="13">
        <v>2</v>
      </c>
      <c r="B8" s="56">
        <v>3</v>
      </c>
      <c r="C8" s="50">
        <v>9</v>
      </c>
      <c r="D8" s="18">
        <f t="shared" ref="D8:D31" si="0">A8/26</f>
        <v>7.6923076923076927E-2</v>
      </c>
      <c r="F8" s="32"/>
      <c r="G8" s="36"/>
      <c r="H8" s="9"/>
      <c r="I8" s="37"/>
      <c r="N8" s="4" t="s">
        <v>2</v>
      </c>
      <c r="O8" s="47">
        <f>PERCENTILE(B7:B31,0.1)</f>
        <v>3.7800000000000002</v>
      </c>
      <c r="P8" s="45" t="s">
        <v>29</v>
      </c>
      <c r="Q8" s="46">
        <f>PERCENTILE(C7:C31,0.1)</f>
        <v>9.4</v>
      </c>
      <c r="R8" s="38" t="s">
        <v>30</v>
      </c>
      <c r="S8" s="17">
        <v>10</v>
      </c>
    </row>
    <row r="9" spans="1:29" ht="15.75" x14ac:dyDescent="0.25">
      <c r="A9" s="13">
        <v>3</v>
      </c>
      <c r="B9" s="56">
        <v>3.5</v>
      </c>
      <c r="C9" s="50">
        <v>9</v>
      </c>
      <c r="D9" s="18">
        <f t="shared" si="0"/>
        <v>0.11538461538461539</v>
      </c>
      <c r="F9" s="32"/>
      <c r="G9" s="36"/>
      <c r="H9" s="9"/>
      <c r="I9" s="37"/>
      <c r="K9" s="39"/>
      <c r="L9" s="40"/>
      <c r="N9" s="4" t="s">
        <v>3</v>
      </c>
      <c r="O9" s="47">
        <f>QUARTILE(B7:B31,1)</f>
        <v>5.4</v>
      </c>
      <c r="P9" s="45" t="s">
        <v>29</v>
      </c>
      <c r="Q9" s="46">
        <f>QUARTILE(C7:C31,1)</f>
        <v>13</v>
      </c>
      <c r="R9" s="38" t="s">
        <v>30</v>
      </c>
      <c r="S9" s="17">
        <v>25</v>
      </c>
      <c r="U9" s="30">
        <v>1</v>
      </c>
      <c r="V9" s="53" t="s">
        <v>18</v>
      </c>
      <c r="W9" s="53"/>
      <c r="X9" s="53"/>
      <c r="Y9" s="53"/>
      <c r="Z9" s="53"/>
      <c r="AA9" s="53"/>
      <c r="AB9" s="53"/>
      <c r="AC9" s="53"/>
    </row>
    <row r="10" spans="1:29" ht="15.75" x14ac:dyDescent="0.25">
      <c r="A10" s="13">
        <v>4</v>
      </c>
      <c r="B10" s="56">
        <v>4.2</v>
      </c>
      <c r="C10" s="50">
        <v>10</v>
      </c>
      <c r="D10" s="18">
        <f t="shared" si="0"/>
        <v>0.15384615384615385</v>
      </c>
      <c r="F10" s="32"/>
      <c r="G10" s="36"/>
      <c r="H10" s="9"/>
      <c r="I10" s="37"/>
      <c r="N10" s="4" t="s">
        <v>4</v>
      </c>
      <c r="O10" s="47">
        <f>MEDIAN(B7:B31)</f>
        <v>6</v>
      </c>
      <c r="P10" s="45" t="s">
        <v>29</v>
      </c>
      <c r="Q10" s="46">
        <f>MEDIAN(C7:C31)</f>
        <v>18</v>
      </c>
      <c r="R10" s="38" t="s">
        <v>30</v>
      </c>
      <c r="S10" s="17">
        <v>50</v>
      </c>
    </row>
    <row r="11" spans="1:29" ht="15.75" x14ac:dyDescent="0.25">
      <c r="A11" s="13">
        <v>5</v>
      </c>
      <c r="B11" s="56">
        <v>5.0999999999999996</v>
      </c>
      <c r="C11" s="50">
        <v>12</v>
      </c>
      <c r="D11" s="18">
        <f t="shared" si="0"/>
        <v>0.19230769230769232</v>
      </c>
      <c r="F11" s="32"/>
      <c r="G11" s="36"/>
      <c r="H11" s="9"/>
      <c r="I11" s="37"/>
      <c r="N11" s="4" t="s">
        <v>6</v>
      </c>
      <c r="O11" s="47">
        <f>QUARTILE(B7:B31,3)</f>
        <v>7.2</v>
      </c>
      <c r="P11" s="45" t="s">
        <v>29</v>
      </c>
      <c r="Q11" s="46">
        <f>QUARTILE(C7:C31,3)</f>
        <v>22</v>
      </c>
      <c r="R11" s="38" t="s">
        <v>30</v>
      </c>
      <c r="S11" s="17">
        <v>75</v>
      </c>
      <c r="V11" s="58" t="s">
        <v>31</v>
      </c>
      <c r="W11" s="59"/>
      <c r="X11" s="59"/>
      <c r="Y11" s="59"/>
      <c r="Z11" s="59"/>
      <c r="AA11" s="59"/>
      <c r="AB11" s="59"/>
      <c r="AC11" s="59"/>
    </row>
    <row r="12" spans="1:29" ht="15.75" x14ac:dyDescent="0.25">
      <c r="A12" s="13">
        <v>6</v>
      </c>
      <c r="B12" s="56">
        <v>5.4</v>
      </c>
      <c r="C12" s="50">
        <v>13</v>
      </c>
      <c r="D12" s="18">
        <f t="shared" si="0"/>
        <v>0.23076923076923078</v>
      </c>
      <c r="F12" s="32"/>
      <c r="G12" s="36"/>
      <c r="H12" s="9"/>
      <c r="I12" s="37"/>
      <c r="K12" s="39"/>
      <c r="L12" s="40"/>
      <c r="N12" s="4" t="s">
        <v>5</v>
      </c>
      <c r="O12" s="47">
        <f>PERCENTILE(B7:B31,0.9)</f>
        <v>7.9</v>
      </c>
      <c r="P12" s="45" t="s">
        <v>29</v>
      </c>
      <c r="Q12" s="46">
        <f>PERCENTILE(C7:C31,0.9)</f>
        <v>25.6</v>
      </c>
      <c r="R12" s="38" t="s">
        <v>30</v>
      </c>
      <c r="S12" s="17">
        <v>90</v>
      </c>
      <c r="V12" s="59"/>
      <c r="W12" s="59"/>
      <c r="X12" s="59"/>
      <c r="Y12" s="59"/>
      <c r="Z12" s="59"/>
      <c r="AA12" s="59"/>
      <c r="AB12" s="59"/>
      <c r="AC12" s="59"/>
    </row>
    <row r="13" spans="1:29" ht="15.75" x14ac:dyDescent="0.25">
      <c r="A13" s="13">
        <v>7</v>
      </c>
      <c r="B13" s="56">
        <v>5.4</v>
      </c>
      <c r="C13" s="50">
        <v>13</v>
      </c>
      <c r="D13" s="18">
        <f t="shared" si="0"/>
        <v>0.26923076923076922</v>
      </c>
      <c r="F13" s="32"/>
      <c r="G13" s="36"/>
      <c r="H13" s="9"/>
      <c r="I13" s="37"/>
      <c r="N13" s="4" t="s">
        <v>7</v>
      </c>
      <c r="O13" s="47">
        <f>MAX(B7:B31)</f>
        <v>8.6999999999999993</v>
      </c>
      <c r="P13" s="45" t="s">
        <v>29</v>
      </c>
      <c r="Q13" s="46">
        <f>MAX(C7:C31)</f>
        <v>30</v>
      </c>
      <c r="R13" s="38" t="s">
        <v>30</v>
      </c>
      <c r="S13" s="17">
        <v>100</v>
      </c>
      <c r="V13" s="29"/>
      <c r="W13" s="29"/>
      <c r="X13" s="29"/>
      <c r="Y13" s="29"/>
      <c r="Z13" s="29"/>
      <c r="AA13" s="29"/>
      <c r="AB13" s="29"/>
      <c r="AC13" s="29"/>
    </row>
    <row r="14" spans="1:29" ht="15.75" x14ac:dyDescent="0.25">
      <c r="A14" s="13">
        <v>8</v>
      </c>
      <c r="B14" s="56">
        <v>5.4</v>
      </c>
      <c r="C14" s="50">
        <v>15</v>
      </c>
      <c r="D14" s="18">
        <f t="shared" si="0"/>
        <v>0.30769230769230771</v>
      </c>
      <c r="F14" s="32"/>
      <c r="G14" s="36"/>
      <c r="H14" s="9"/>
      <c r="I14" s="37"/>
      <c r="U14">
        <v>2</v>
      </c>
      <c r="V14" s="53" t="s">
        <v>19</v>
      </c>
      <c r="W14" s="53"/>
      <c r="X14" s="53"/>
      <c r="Y14" s="53"/>
      <c r="Z14" s="53"/>
      <c r="AA14" s="53"/>
      <c r="AB14" s="53"/>
      <c r="AC14" s="53"/>
    </row>
    <row r="15" spans="1:29" ht="15.75" x14ac:dyDescent="0.25">
      <c r="A15" s="13">
        <v>9</v>
      </c>
      <c r="B15" s="56">
        <v>5.5</v>
      </c>
      <c r="C15" s="50">
        <v>16</v>
      </c>
      <c r="D15" s="18">
        <f t="shared" si="0"/>
        <v>0.34615384615384615</v>
      </c>
      <c r="F15" s="32"/>
      <c r="G15" s="36"/>
      <c r="H15" s="9"/>
      <c r="I15" s="37"/>
    </row>
    <row r="16" spans="1:29" ht="15.75" x14ac:dyDescent="0.25">
      <c r="A16" s="13">
        <v>10</v>
      </c>
      <c r="B16" s="56">
        <v>5.5</v>
      </c>
      <c r="C16" s="50">
        <v>16</v>
      </c>
      <c r="D16" s="18">
        <f t="shared" si="0"/>
        <v>0.38461538461538464</v>
      </c>
      <c r="F16" s="32"/>
      <c r="G16" s="36"/>
      <c r="H16" s="9"/>
      <c r="I16" s="37"/>
      <c r="V16" s="58" t="s">
        <v>31</v>
      </c>
      <c r="W16" s="59"/>
      <c r="X16" s="59"/>
      <c r="Y16" s="59"/>
      <c r="Z16" s="59"/>
      <c r="AA16" s="59"/>
      <c r="AB16" s="59"/>
      <c r="AC16" s="59"/>
    </row>
    <row r="17" spans="1:29" ht="15.75" x14ac:dyDescent="0.25">
      <c r="A17" s="13">
        <v>11</v>
      </c>
      <c r="B17" s="56">
        <v>5.6</v>
      </c>
      <c r="C17" s="50">
        <v>17</v>
      </c>
      <c r="D17" s="18">
        <f t="shared" si="0"/>
        <v>0.42307692307692307</v>
      </c>
      <c r="F17" s="32"/>
      <c r="G17" s="36"/>
      <c r="H17" s="9"/>
      <c r="I17" s="37"/>
      <c r="V17" s="59"/>
      <c r="W17" s="59"/>
      <c r="X17" s="59"/>
      <c r="Y17" s="59"/>
      <c r="Z17" s="59"/>
      <c r="AA17" s="59"/>
      <c r="AB17" s="59"/>
      <c r="AC17" s="59"/>
    </row>
    <row r="18" spans="1:29" ht="15.75" x14ac:dyDescent="0.25">
      <c r="A18" s="13">
        <v>12</v>
      </c>
      <c r="B18" s="56">
        <v>5.7</v>
      </c>
      <c r="C18" s="50">
        <v>18</v>
      </c>
      <c r="D18" s="18">
        <f t="shared" si="0"/>
        <v>0.46153846153846156</v>
      </c>
      <c r="F18" s="32"/>
      <c r="G18" s="36"/>
      <c r="H18" s="9"/>
      <c r="I18" s="37"/>
      <c r="V18" s="29"/>
      <c r="W18" s="29"/>
      <c r="X18" s="29"/>
      <c r="Y18" s="29"/>
      <c r="Z18" s="29"/>
      <c r="AA18" s="29"/>
      <c r="AB18" s="29"/>
      <c r="AC18" s="29"/>
    </row>
    <row r="19" spans="1:29" ht="15.75" x14ac:dyDescent="0.25">
      <c r="A19" s="13">
        <v>13</v>
      </c>
      <c r="B19" s="56">
        <v>6</v>
      </c>
      <c r="C19" s="50">
        <v>18</v>
      </c>
      <c r="D19" s="18">
        <f t="shared" si="0"/>
        <v>0.5</v>
      </c>
      <c r="F19" s="32"/>
      <c r="G19" s="36"/>
      <c r="H19" s="9"/>
      <c r="I19" s="37"/>
      <c r="V19" s="29"/>
      <c r="W19" s="29"/>
      <c r="X19" s="29"/>
      <c r="Y19" s="29"/>
      <c r="Z19" s="29"/>
      <c r="AA19" s="29"/>
      <c r="AB19" s="29"/>
      <c r="AC19" s="29"/>
    </row>
    <row r="20" spans="1:29" ht="15.75" x14ac:dyDescent="0.25">
      <c r="A20" s="13">
        <v>14</v>
      </c>
      <c r="B20" s="56">
        <v>6.2</v>
      </c>
      <c r="C20" s="50">
        <v>19</v>
      </c>
      <c r="D20" s="18">
        <f t="shared" si="0"/>
        <v>0.53846153846153844</v>
      </c>
      <c r="F20" s="32"/>
      <c r="G20" s="36"/>
      <c r="H20" s="9"/>
      <c r="I20" s="37"/>
      <c r="V20" s="29"/>
      <c r="W20" s="29"/>
      <c r="X20" s="29"/>
      <c r="Y20" s="29"/>
      <c r="Z20" s="29"/>
      <c r="AA20" s="29"/>
      <c r="AB20" s="29"/>
      <c r="AC20" s="29"/>
    </row>
    <row r="21" spans="1:29" ht="15.75" x14ac:dyDescent="0.25">
      <c r="A21" s="13">
        <v>15</v>
      </c>
      <c r="B21" s="56">
        <v>6.3</v>
      </c>
      <c r="C21" s="50">
        <v>19</v>
      </c>
      <c r="D21" s="18">
        <f t="shared" si="0"/>
        <v>0.57692307692307687</v>
      </c>
      <c r="F21" s="32"/>
      <c r="G21" s="36"/>
      <c r="H21" s="9"/>
      <c r="I21" s="37"/>
    </row>
    <row r="22" spans="1:29" ht="15.75" x14ac:dyDescent="0.25">
      <c r="A22" s="13">
        <v>16</v>
      </c>
      <c r="B22" s="56">
        <v>6.3</v>
      </c>
      <c r="C22" s="50">
        <v>20</v>
      </c>
      <c r="D22" s="18">
        <f t="shared" si="0"/>
        <v>0.61538461538461542</v>
      </c>
      <c r="F22" s="32"/>
      <c r="G22" s="36"/>
      <c r="H22" s="9"/>
      <c r="I22" s="37"/>
      <c r="V22" s="7"/>
      <c r="W22" s="7"/>
      <c r="X22" s="7"/>
      <c r="Y22" s="7"/>
      <c r="Z22" s="7"/>
      <c r="AA22" s="7"/>
      <c r="AB22" s="7"/>
      <c r="AC22" s="7"/>
    </row>
    <row r="23" spans="1:29" ht="15.75" x14ac:dyDescent="0.25">
      <c r="A23" s="13">
        <v>17</v>
      </c>
      <c r="B23" s="56">
        <v>6.7</v>
      </c>
      <c r="C23" s="50">
        <v>20</v>
      </c>
      <c r="D23" s="18">
        <f t="shared" si="0"/>
        <v>0.65384615384615385</v>
      </c>
      <c r="F23" s="32"/>
      <c r="G23" s="36"/>
      <c r="H23" s="9"/>
      <c r="I23" s="37"/>
      <c r="V23" s="7"/>
      <c r="W23" s="7"/>
      <c r="X23" s="7"/>
      <c r="Y23" s="7"/>
      <c r="Z23" s="7"/>
      <c r="AA23" s="7"/>
      <c r="AB23" s="7"/>
      <c r="AC23" s="7"/>
    </row>
    <row r="24" spans="1:29" ht="15.75" x14ac:dyDescent="0.25">
      <c r="A24" s="13">
        <v>18</v>
      </c>
      <c r="B24" s="56">
        <v>6.9</v>
      </c>
      <c r="C24" s="50">
        <v>22</v>
      </c>
      <c r="D24" s="18">
        <f t="shared" si="0"/>
        <v>0.69230769230769229</v>
      </c>
      <c r="F24" s="32"/>
      <c r="G24" s="36"/>
      <c r="H24" s="9"/>
      <c r="I24" s="37"/>
      <c r="V24" s="7"/>
      <c r="W24" s="7"/>
      <c r="X24" s="7"/>
      <c r="Y24" s="7"/>
      <c r="Z24" s="7"/>
      <c r="AA24" s="7"/>
      <c r="AB24" s="7"/>
      <c r="AC24" s="7"/>
    </row>
    <row r="25" spans="1:29" ht="15.75" x14ac:dyDescent="0.25">
      <c r="A25" s="13">
        <v>19</v>
      </c>
      <c r="B25" s="56">
        <v>7.2</v>
      </c>
      <c r="C25" s="50">
        <v>22</v>
      </c>
      <c r="D25" s="18">
        <f t="shared" si="0"/>
        <v>0.73076923076923073</v>
      </c>
      <c r="F25" s="32"/>
      <c r="G25" s="36"/>
      <c r="H25" s="9"/>
      <c r="I25" s="37"/>
      <c r="V25" s="57"/>
      <c r="W25" s="57"/>
      <c r="X25" s="57"/>
      <c r="Y25" s="57"/>
      <c r="Z25" s="57"/>
      <c r="AA25" s="57"/>
      <c r="AB25" s="57"/>
      <c r="AC25" s="57"/>
    </row>
    <row r="26" spans="1:29" ht="15.75" x14ac:dyDescent="0.25">
      <c r="A26" s="13">
        <v>20</v>
      </c>
      <c r="B26" s="56">
        <v>7.3</v>
      </c>
      <c r="C26" s="50">
        <v>22</v>
      </c>
      <c r="D26" s="18">
        <f t="shared" si="0"/>
        <v>0.76923076923076927</v>
      </c>
      <c r="F26" s="32"/>
      <c r="G26" s="36"/>
      <c r="H26" s="9"/>
      <c r="I26" s="37"/>
      <c r="V26" s="57"/>
      <c r="W26" s="57"/>
      <c r="X26" s="57"/>
      <c r="Y26" s="57"/>
      <c r="Z26" s="57"/>
      <c r="AA26" s="57"/>
      <c r="AB26" s="57"/>
      <c r="AC26" s="57"/>
    </row>
    <row r="27" spans="1:29" ht="15.75" x14ac:dyDescent="0.25">
      <c r="A27" s="13">
        <v>21</v>
      </c>
      <c r="B27" s="56">
        <v>7.5</v>
      </c>
      <c r="C27" s="50">
        <v>25</v>
      </c>
      <c r="D27" s="18">
        <f t="shared" si="0"/>
        <v>0.80769230769230771</v>
      </c>
      <c r="F27" s="32"/>
      <c r="G27" s="36"/>
      <c r="H27" s="9"/>
      <c r="I27" s="37"/>
      <c r="V27" s="7"/>
      <c r="W27" s="7"/>
      <c r="X27" s="7"/>
      <c r="Y27" s="7"/>
      <c r="Z27" s="7"/>
      <c r="AA27" s="7"/>
      <c r="AB27" s="7"/>
      <c r="AC27" s="7"/>
    </row>
    <row r="28" spans="1:29" ht="15.75" x14ac:dyDescent="0.25">
      <c r="A28" s="13">
        <v>22</v>
      </c>
      <c r="B28" s="56">
        <v>7.9</v>
      </c>
      <c r="C28" s="50">
        <v>25</v>
      </c>
      <c r="D28" s="18">
        <f t="shared" si="0"/>
        <v>0.84615384615384615</v>
      </c>
      <c r="F28" s="32"/>
      <c r="G28" s="36"/>
      <c r="H28" s="9"/>
      <c r="I28" s="37"/>
    </row>
    <row r="29" spans="1:29" ht="15.75" x14ac:dyDescent="0.25">
      <c r="A29" s="13">
        <v>23</v>
      </c>
      <c r="B29" s="56">
        <v>7.9</v>
      </c>
      <c r="C29" s="50">
        <v>26</v>
      </c>
      <c r="D29" s="18">
        <f t="shared" si="0"/>
        <v>0.88461538461538458</v>
      </c>
      <c r="F29" s="32"/>
      <c r="G29" s="36"/>
      <c r="H29" s="9"/>
      <c r="I29" s="37"/>
    </row>
    <row r="30" spans="1:29" ht="15.75" x14ac:dyDescent="0.25">
      <c r="A30" s="13">
        <v>24</v>
      </c>
      <c r="B30" s="56">
        <v>8.6</v>
      </c>
      <c r="C30" s="50">
        <v>29</v>
      </c>
      <c r="D30" s="18">
        <f t="shared" si="0"/>
        <v>0.92307692307692313</v>
      </c>
      <c r="F30" s="32"/>
      <c r="G30" s="36"/>
      <c r="H30" s="9"/>
      <c r="I30" s="37"/>
    </row>
    <row r="31" spans="1:29" ht="15.75" x14ac:dyDescent="0.25">
      <c r="A31" s="13">
        <v>25</v>
      </c>
      <c r="B31" s="56">
        <v>8.6999999999999993</v>
      </c>
      <c r="C31" s="50">
        <v>30</v>
      </c>
      <c r="D31" s="18">
        <f t="shared" si="0"/>
        <v>0.96153846153846156</v>
      </c>
      <c r="F31" s="32"/>
      <c r="G31" s="36"/>
      <c r="H31" s="9"/>
      <c r="I31" s="37"/>
    </row>
    <row r="42" spans="1:4" x14ac:dyDescent="0.25">
      <c r="A42" s="5"/>
      <c r="B42" s="6"/>
      <c r="C42" s="6"/>
      <c r="D42" s="19"/>
    </row>
    <row r="43" spans="1:4" x14ac:dyDescent="0.25">
      <c r="A43" s="5"/>
      <c r="B43" s="6"/>
      <c r="C43" s="6"/>
      <c r="D43" s="7"/>
    </row>
    <row r="50" spans="6:12" x14ac:dyDescent="0.25">
      <c r="F50" s="51"/>
      <c r="G50" s="52"/>
      <c r="H50" s="52"/>
      <c r="I50" s="52"/>
      <c r="J50" s="52"/>
      <c r="K50" s="52"/>
      <c r="L50" s="52"/>
    </row>
    <row r="51" spans="6:12" x14ac:dyDescent="0.25">
      <c r="F51" s="51"/>
      <c r="G51" s="52"/>
      <c r="H51" s="52"/>
      <c r="I51" s="52"/>
      <c r="J51" s="52"/>
      <c r="K51" s="52"/>
      <c r="L51" s="52"/>
    </row>
    <row r="52" spans="6:12" x14ac:dyDescent="0.25">
      <c r="F52" s="51"/>
      <c r="G52" s="52"/>
      <c r="H52" s="52"/>
      <c r="I52" s="52"/>
      <c r="J52" s="52"/>
      <c r="K52" s="52"/>
      <c r="L52" s="52"/>
    </row>
    <row r="53" spans="6:12" x14ac:dyDescent="0.25">
      <c r="F53" s="52"/>
      <c r="G53" s="52"/>
      <c r="H53" s="52"/>
      <c r="I53" s="52"/>
      <c r="J53" s="52"/>
      <c r="K53" s="52"/>
      <c r="L53" s="52"/>
    </row>
    <row r="54" spans="6:12" x14ac:dyDescent="0.25">
      <c r="F54" s="52"/>
      <c r="G54" s="52"/>
      <c r="H54" s="52"/>
      <c r="I54" s="52"/>
      <c r="J54" s="52"/>
      <c r="K54" s="52"/>
      <c r="L54" s="52"/>
    </row>
  </sheetData>
  <sortState xmlns:xlrd2="http://schemas.microsoft.com/office/spreadsheetml/2017/richdata2" ref="C7:C39">
    <sortCondition ref="C7"/>
  </sortState>
  <mergeCells count="3">
    <mergeCell ref="V25:AC26"/>
    <mergeCell ref="V11:AC12"/>
    <mergeCell ref="V16:AC17"/>
  </mergeCell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9"/>
  <sheetViews>
    <sheetView tabSelected="1" topLeftCell="A34" workbookViewId="0">
      <selection activeCell="B49" sqref="B49:N52"/>
    </sheetView>
  </sheetViews>
  <sheetFormatPr defaultRowHeight="15" x14ac:dyDescent="0.25"/>
  <cols>
    <col min="1" max="2" width="8.85546875" style="6"/>
  </cols>
  <sheetData>
    <row r="1" spans="1:14" s="11" customFormat="1" ht="15.75" x14ac:dyDescent="0.25">
      <c r="A1" s="10" t="s">
        <v>21</v>
      </c>
      <c r="D1" s="12"/>
      <c r="E1" s="12"/>
      <c r="F1" s="12"/>
      <c r="G1" s="12"/>
      <c r="H1" s="12"/>
      <c r="I1" s="12"/>
      <c r="J1" s="12"/>
      <c r="K1" s="12"/>
      <c r="L1" s="12"/>
    </row>
    <row r="2" spans="1:14" s="11" customFormat="1" ht="15.75" x14ac:dyDescent="0.25">
      <c r="A2" s="10" t="s">
        <v>32</v>
      </c>
      <c r="D2" s="12"/>
      <c r="E2" s="12"/>
      <c r="F2" s="12"/>
      <c r="G2" s="12"/>
      <c r="H2" s="12"/>
      <c r="I2" s="12"/>
      <c r="J2" s="12"/>
      <c r="K2" s="12"/>
      <c r="L2" s="12"/>
    </row>
    <row r="3" spans="1:14" s="11" customFormat="1" ht="15.75" x14ac:dyDescent="0.25">
      <c r="A3" s="10" t="s">
        <v>11</v>
      </c>
      <c r="B3" s="10" t="s">
        <v>33</v>
      </c>
      <c r="D3" s="15" t="s">
        <v>12</v>
      </c>
      <c r="E3" s="10">
        <v>10</v>
      </c>
      <c r="F3" s="12"/>
      <c r="G3" s="12"/>
      <c r="H3" s="12"/>
      <c r="I3" s="12"/>
      <c r="J3" s="12"/>
      <c r="K3" s="12"/>
      <c r="L3" s="12"/>
    </row>
    <row r="4" spans="1:14" x14ac:dyDescent="0.25">
      <c r="A4" s="8"/>
      <c r="B4" s="9"/>
    </row>
    <row r="5" spans="1:14" x14ac:dyDescent="0.25">
      <c r="A5" s="8"/>
      <c r="B5" s="9"/>
    </row>
    <row r="6" spans="1:14" ht="18" customHeight="1" x14ac:dyDescent="0.25">
      <c r="A6" s="22">
        <v>1</v>
      </c>
      <c r="B6" s="54" t="s">
        <v>13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</row>
    <row r="7" spans="1:14" ht="14.45" customHeight="1" x14ac:dyDescent="0.25">
      <c r="B7" s="60" t="s">
        <v>34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</row>
    <row r="8" spans="1:14" x14ac:dyDescent="0.25"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</row>
    <row r="9" spans="1:14" ht="14.45" customHeight="1" x14ac:dyDescent="0.25"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</row>
    <row r="10" spans="1:14" x14ac:dyDescent="0.25"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 spans="1:14" x14ac:dyDescent="0.25"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</row>
    <row r="12" spans="1:14" ht="18" customHeight="1" x14ac:dyDescent="0.25">
      <c r="A12" s="22">
        <v>2</v>
      </c>
      <c r="B12" s="54" t="s">
        <v>14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</row>
    <row r="13" spans="1:14" ht="14.45" customHeight="1" x14ac:dyDescent="0.25">
      <c r="B13" s="60" t="s">
        <v>35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</row>
    <row r="14" spans="1:14" x14ac:dyDescent="0.25"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</row>
    <row r="15" spans="1:14" ht="14.45" customHeight="1" x14ac:dyDescent="0.25"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</row>
    <row r="16" spans="1:14" x14ac:dyDescent="0.25"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</row>
    <row r="17" spans="1:16" x14ac:dyDescent="0.25"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</row>
    <row r="18" spans="1:16" ht="18.75" x14ac:dyDescent="0.3">
      <c r="A18" s="22">
        <v>3</v>
      </c>
      <c r="B18" s="54" t="s">
        <v>15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20"/>
    </row>
    <row r="19" spans="1:16" ht="18.75" x14ac:dyDescent="0.3">
      <c r="A19" s="8"/>
      <c r="B19" s="61" t="s">
        <v>36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20"/>
    </row>
    <row r="20" spans="1:16" ht="18.75" x14ac:dyDescent="0.3">
      <c r="A20" s="8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20"/>
    </row>
    <row r="21" spans="1:16" ht="18.75" x14ac:dyDescent="0.3">
      <c r="A21" s="8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20"/>
    </row>
    <row r="22" spans="1:16" ht="18.75" x14ac:dyDescent="0.3">
      <c r="A22" s="8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20"/>
    </row>
    <row r="23" spans="1:16" x14ac:dyDescent="0.25"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spans="1:16" ht="18" customHeight="1" x14ac:dyDescent="0.25">
      <c r="A24" s="22">
        <v>4</v>
      </c>
      <c r="B24" s="54" t="s">
        <v>22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</row>
    <row r="25" spans="1:16" ht="18" customHeight="1" x14ac:dyDescent="0.25">
      <c r="B25" s="62" t="s">
        <v>37</v>
      </c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</row>
    <row r="26" spans="1:16" ht="18" customHeight="1" x14ac:dyDescent="0.25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</row>
    <row r="27" spans="1:16" ht="17.45" customHeight="1" x14ac:dyDescent="0.25">
      <c r="A27" s="8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</row>
    <row r="28" spans="1:16" ht="36" customHeight="1" x14ac:dyDescent="0.3">
      <c r="A28" s="8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20"/>
      <c r="P28" s="20"/>
    </row>
    <row r="29" spans="1:16" ht="18.75" x14ac:dyDescent="0.3">
      <c r="A29" s="8"/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0"/>
      <c r="P29" s="20"/>
    </row>
    <row r="30" spans="1:16" ht="18" customHeight="1" x14ac:dyDescent="0.3">
      <c r="A30" s="22">
        <v>5</v>
      </c>
      <c r="B30" s="54" t="s">
        <v>17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20"/>
      <c r="P30" s="20"/>
    </row>
    <row r="31" spans="1:16" ht="18.75" x14ac:dyDescent="0.3">
      <c r="B31" s="63" t="s">
        <v>39</v>
      </c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5"/>
      <c r="O31" s="20"/>
      <c r="P31" s="20"/>
    </row>
    <row r="32" spans="1:16" ht="18.75" x14ac:dyDescent="0.3"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8"/>
      <c r="O32" s="20"/>
      <c r="P32" s="20"/>
    </row>
    <row r="33" spans="1:16" ht="18" customHeight="1" x14ac:dyDescent="0.3">
      <c r="A33" s="8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8"/>
      <c r="O33" s="43"/>
      <c r="P33" s="20"/>
    </row>
    <row r="34" spans="1:16" ht="18.75" x14ac:dyDescent="0.3">
      <c r="A34" s="8"/>
      <c r="B34" s="69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1"/>
      <c r="O34" s="20"/>
      <c r="P34" s="20"/>
    </row>
    <row r="35" spans="1:16" ht="18.75" x14ac:dyDescent="0.3">
      <c r="A35" s="8"/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0"/>
      <c r="P35" s="20"/>
    </row>
    <row r="36" spans="1:16" ht="18.75" x14ac:dyDescent="0.3">
      <c r="A36" s="22">
        <v>6</v>
      </c>
      <c r="B36" s="54" t="s">
        <v>20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P36" s="20"/>
    </row>
    <row r="37" spans="1:16" ht="18.75" x14ac:dyDescent="0.3">
      <c r="B37" s="60" t="s">
        <v>40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P37" s="20"/>
    </row>
    <row r="38" spans="1:16" ht="18.75" x14ac:dyDescent="0.3"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P38" s="20"/>
    </row>
    <row r="39" spans="1:16" ht="18" customHeight="1" x14ac:dyDescent="0.3">
      <c r="A39" s="8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P39" s="20"/>
    </row>
    <row r="40" spans="1:16" ht="44.45" customHeight="1" x14ac:dyDescent="0.3">
      <c r="A40" s="8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P40" s="20"/>
    </row>
    <row r="41" spans="1:16" ht="18.75" x14ac:dyDescent="0.3">
      <c r="A41" s="8"/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0"/>
      <c r="P41" s="20"/>
    </row>
    <row r="42" spans="1:16" ht="18.75" x14ac:dyDescent="0.3">
      <c r="A42" s="22">
        <v>7</v>
      </c>
      <c r="B42" s="54" t="s">
        <v>23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20"/>
      <c r="P42" s="20"/>
    </row>
    <row r="43" spans="1:16" ht="18.75" x14ac:dyDescent="0.3">
      <c r="B43" s="60" t="s">
        <v>41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20"/>
      <c r="P43" s="20"/>
    </row>
    <row r="44" spans="1:16" ht="18.75" x14ac:dyDescent="0.3"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20"/>
      <c r="P44" s="20"/>
    </row>
    <row r="45" spans="1:16" ht="18" customHeight="1" x14ac:dyDescent="0.3">
      <c r="A45" s="8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20"/>
      <c r="P45" s="20"/>
    </row>
    <row r="46" spans="1:16" ht="55.7" customHeight="1" x14ac:dyDescent="0.3">
      <c r="A46" s="8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20"/>
      <c r="P46" s="20"/>
    </row>
    <row r="47" spans="1:16" ht="18.75" x14ac:dyDescent="0.3">
      <c r="A47" s="8"/>
      <c r="B47" s="41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 spans="1:16" ht="18.75" x14ac:dyDescent="0.3">
      <c r="A48" s="22">
        <v>8</v>
      </c>
      <c r="B48" s="54" t="s">
        <v>24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20"/>
      <c r="P48" s="20"/>
    </row>
    <row r="49" spans="1:16" ht="18.75" x14ac:dyDescent="0.3">
      <c r="B49" s="60" t="s">
        <v>38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20"/>
      <c r="P49" s="20"/>
    </row>
    <row r="50" spans="1:16" ht="18.75" x14ac:dyDescent="0.3"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20"/>
      <c r="P50" s="20"/>
    </row>
    <row r="51" spans="1:16" ht="18.75" x14ac:dyDescent="0.3">
      <c r="A51" s="8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20"/>
      <c r="P51" s="20"/>
    </row>
    <row r="52" spans="1:16" ht="18.75" x14ac:dyDescent="0.3">
      <c r="A52" s="8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20"/>
      <c r="P52" s="20"/>
    </row>
    <row r="53" spans="1:16" ht="18.75" x14ac:dyDescent="0.3">
      <c r="O53" s="20"/>
      <c r="P53" s="20"/>
    </row>
    <row r="54" spans="1:16" ht="18.75" x14ac:dyDescent="0.3">
      <c r="O54" s="20"/>
      <c r="P54" s="20"/>
    </row>
    <row r="55" spans="1:16" ht="18.75" x14ac:dyDescent="0.3">
      <c r="O55" s="20"/>
      <c r="P55" s="20"/>
    </row>
    <row r="56" spans="1:16" ht="18.75" x14ac:dyDescent="0.3">
      <c r="O56" s="20"/>
      <c r="P56" s="20"/>
    </row>
    <row r="57" spans="1:16" ht="18.75" x14ac:dyDescent="0.3">
      <c r="O57" s="20"/>
      <c r="P57" s="20"/>
    </row>
    <row r="58" spans="1:16" ht="18.75" x14ac:dyDescent="0.3">
      <c r="O58" s="20"/>
      <c r="P58" s="20"/>
    </row>
    <row r="59" spans="1:16" ht="18.75" x14ac:dyDescent="0.3">
      <c r="B59" s="21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</sheetData>
  <mergeCells count="8">
    <mergeCell ref="B49:N52"/>
    <mergeCell ref="B37:N40"/>
    <mergeCell ref="B43:N46"/>
    <mergeCell ref="B7:N10"/>
    <mergeCell ref="B13:N16"/>
    <mergeCell ref="B19:N22"/>
    <mergeCell ref="B25:N28"/>
    <mergeCell ref="B31:N3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354458-5256-405A-9290-E41CFECC3D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dat_3</vt:lpstr>
      <vt:lpstr>Лист1</vt:lpstr>
      <vt:lpstr>Квантили, графики_3</vt:lpstr>
      <vt:lpstr>Отчет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Рябых</dc:creator>
  <cp:lastModifiedBy>Peter</cp:lastModifiedBy>
  <dcterms:created xsi:type="dcterms:W3CDTF">2020-03-09T04:42:45Z</dcterms:created>
  <dcterms:modified xsi:type="dcterms:W3CDTF">2026-10-06T14:02:49Z</dcterms:modified>
</cp:coreProperties>
</file>