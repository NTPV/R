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ModInf\zan4\"/>
    </mc:Choice>
  </mc:AlternateContent>
  <xr:revisionPtr revIDLastSave="0" documentId="13_ncr:1_{677AC63B-2FDD-4E78-BFBE-5FBF83511F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4.1" sheetId="2" r:id="rId1"/>
    <sheet name="4.2" sheetId="3" r:id="rId2"/>
    <sheet name="4_Oтчет_в 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4" i="3" l="1"/>
  <c r="J112" i="3"/>
  <c r="N71" i="3"/>
  <c r="N72" i="3"/>
  <c r="N47" i="3"/>
  <c r="K39" i="3" a="1"/>
  <c r="K39" i="3" s="1"/>
  <c r="K85" i="3" s="1"/>
  <c r="H40" i="3" a="1"/>
  <c r="H40" i="3" s="1"/>
  <c r="H86" i="3" s="1"/>
  <c r="I40" i="3" a="1"/>
  <c r="I40" i="3" s="1"/>
  <c r="I86" i="3" s="1"/>
  <c r="E41" i="3" a="1"/>
  <c r="E41" i="3" s="1"/>
  <c r="E87" i="3" s="1"/>
  <c r="F41" i="3" a="1"/>
  <c r="F41" i="3" s="1"/>
  <c r="F87" i="3" s="1"/>
  <c r="G41" i="3" a="1"/>
  <c r="G41" i="3" s="1"/>
  <c r="G87" i="3" s="1"/>
  <c r="D42" i="3" a="1"/>
  <c r="D42" i="3" s="1"/>
  <c r="E42" i="3" a="1"/>
  <c r="E42" i="3" s="1"/>
  <c r="E88" i="3" s="1"/>
  <c r="K42" i="3" a="1"/>
  <c r="K42" i="3" s="1"/>
  <c r="K88" i="3" s="1"/>
  <c r="M42" i="3" a="1"/>
  <c r="M42" i="3" s="1"/>
  <c r="M88" i="3" s="1"/>
  <c r="I43" i="3" a="1"/>
  <c r="I43" i="3" s="1"/>
  <c r="I89" i="3" s="1"/>
  <c r="J43" i="3" a="1"/>
  <c r="J43" i="3" s="1"/>
  <c r="J89" i="3" s="1"/>
  <c r="K43" i="3" a="1"/>
  <c r="K43" i="3" s="1"/>
  <c r="K89" i="3" s="1"/>
  <c r="H44" i="3" a="1"/>
  <c r="H44" i="3" s="1"/>
  <c r="H90" i="3" s="1"/>
  <c r="I44" i="3" a="1"/>
  <c r="I44" i="3" s="1"/>
  <c r="I90" i="3" s="1"/>
  <c r="F45" i="3" a="1"/>
  <c r="F45" i="3" s="1"/>
  <c r="F91" i="3" s="1"/>
  <c r="G45" i="3" a="1"/>
  <c r="G45" i="3" s="1"/>
  <c r="G91" i="3" s="1"/>
  <c r="I39" i="3" a="1"/>
  <c r="I39" i="3" s="1"/>
  <c r="I85" i="3" s="1"/>
  <c r="G40" i="3" a="1"/>
  <c r="G40" i="3" s="1"/>
  <c r="G86" i="3" s="1"/>
  <c r="G44" i="3" a="1"/>
  <c r="G44" i="3" s="1"/>
  <c r="G90" i="3" s="1"/>
  <c r="E45" i="3" a="1"/>
  <c r="E45" i="3" s="1"/>
  <c r="E91" i="3" s="1"/>
  <c r="L45" i="3" a="1"/>
  <c r="L45" i="3" s="1"/>
  <c r="L91" i="3" s="1"/>
  <c r="M45" i="3" a="1"/>
  <c r="M45" i="3" s="1"/>
  <c r="M91" i="3" s="1"/>
  <c r="X34" i="3"/>
  <c r="W34" i="3"/>
  <c r="V34" i="3"/>
  <c r="U34" i="3"/>
  <c r="T34" i="3"/>
  <c r="S34" i="3"/>
  <c r="R34" i="3"/>
  <c r="Q34" i="3"/>
  <c r="P34" i="3"/>
  <c r="O34" i="3"/>
  <c r="X33" i="3"/>
  <c r="W33" i="3"/>
  <c r="V33" i="3"/>
  <c r="U33" i="3"/>
  <c r="T33" i="3"/>
  <c r="S33" i="3"/>
  <c r="R33" i="3"/>
  <c r="Q33" i="3"/>
  <c r="P33" i="3"/>
  <c r="O33" i="3"/>
  <c r="X32" i="3"/>
  <c r="W32" i="3"/>
  <c r="V32" i="3"/>
  <c r="U32" i="3"/>
  <c r="T32" i="3"/>
  <c r="S32" i="3"/>
  <c r="R32" i="3"/>
  <c r="Q32" i="3"/>
  <c r="P32" i="3"/>
  <c r="O32" i="3"/>
  <c r="X31" i="3"/>
  <c r="W31" i="3"/>
  <c r="V31" i="3"/>
  <c r="U31" i="3"/>
  <c r="T31" i="3"/>
  <c r="S31" i="3"/>
  <c r="R31" i="3"/>
  <c r="Q31" i="3"/>
  <c r="P31" i="3"/>
  <c r="O31" i="3"/>
  <c r="X30" i="3"/>
  <c r="W30" i="3"/>
  <c r="V30" i="3"/>
  <c r="U30" i="3"/>
  <c r="T30" i="3"/>
  <c r="S30" i="3"/>
  <c r="R30" i="3"/>
  <c r="Q30" i="3"/>
  <c r="P30" i="3"/>
  <c r="O30" i="3"/>
  <c r="X29" i="3"/>
  <c r="W29" i="3"/>
  <c r="V29" i="3"/>
  <c r="U29" i="3"/>
  <c r="T29" i="3"/>
  <c r="S29" i="3"/>
  <c r="R29" i="3"/>
  <c r="Q29" i="3"/>
  <c r="P29" i="3"/>
  <c r="O29" i="3"/>
  <c r="X28" i="3"/>
  <c r="W28" i="3"/>
  <c r="V28" i="3"/>
  <c r="U28" i="3"/>
  <c r="T28" i="3"/>
  <c r="S28" i="3"/>
  <c r="R28" i="3"/>
  <c r="Q28" i="3"/>
  <c r="P28" i="3"/>
  <c r="O28" i="3"/>
  <c r="K112" i="3"/>
  <c r="H112" i="3"/>
  <c r="Q24" i="3"/>
  <c r="L112" i="3" s="1"/>
  <c r="Q23" i="3"/>
  <c r="Q22" i="3"/>
  <c r="Q21" i="3"/>
  <c r="Q20" i="3"/>
  <c r="I112" i="3" s="1"/>
  <c r="Q19" i="3"/>
  <c r="Q18" i="3"/>
  <c r="Q9" i="3"/>
  <c r="K110" i="3" s="1"/>
  <c r="D80" i="3" a="1"/>
  <c r="D80" i="3" s="1"/>
  <c r="D79" i="3" a="1"/>
  <c r="D79" i="3" s="1"/>
  <c r="D78" i="3" a="1"/>
  <c r="D78" i="3" s="1"/>
  <c r="M41" i="3" a="1"/>
  <c r="M41" i="3" s="1"/>
  <c r="M87" i="3" s="1"/>
  <c r="K45" i="3" a="1"/>
  <c r="K45" i="3" s="1"/>
  <c r="K91" i="3" s="1"/>
  <c r="J45" i="3" a="1"/>
  <c r="J45" i="3" s="1"/>
  <c r="J91" i="3" s="1"/>
  <c r="I45" i="3" a="1"/>
  <c r="I45" i="3" s="1"/>
  <c r="I91" i="3" s="1"/>
  <c r="H45" i="3" a="1"/>
  <c r="H45" i="3" s="1"/>
  <c r="H91" i="3" s="1"/>
  <c r="D45" i="3" a="1"/>
  <c r="D45" i="3" s="1"/>
  <c r="M44" i="3" a="1"/>
  <c r="M44" i="3" s="1"/>
  <c r="M90" i="3" s="1"/>
  <c r="L44" i="3" a="1"/>
  <c r="L44" i="3" s="1"/>
  <c r="L90" i="3" s="1"/>
  <c r="K44" i="3" a="1"/>
  <c r="K44" i="3" s="1"/>
  <c r="K90" i="3" s="1"/>
  <c r="J44" i="3" a="1"/>
  <c r="J44" i="3" s="1"/>
  <c r="J90" i="3" s="1"/>
  <c r="F44" i="3" a="1"/>
  <c r="F44" i="3" s="1"/>
  <c r="F90" i="3" s="1"/>
  <c r="E44" i="3" a="1"/>
  <c r="E44" i="3" s="1"/>
  <c r="E90" i="3" s="1"/>
  <c r="D44" i="3" a="1"/>
  <c r="D44" i="3" s="1"/>
  <c r="M43" i="3" a="1"/>
  <c r="M43" i="3" s="1"/>
  <c r="M89" i="3" s="1"/>
  <c r="L43" i="3" a="1"/>
  <c r="L43" i="3" s="1"/>
  <c r="L89" i="3" s="1"/>
  <c r="H43" i="3" a="1"/>
  <c r="H43" i="3" s="1"/>
  <c r="H89" i="3" s="1"/>
  <c r="G43" i="3" a="1"/>
  <c r="G43" i="3" s="1"/>
  <c r="G89" i="3" s="1"/>
  <c r="F43" i="3" a="1"/>
  <c r="F43" i="3" s="1"/>
  <c r="F89" i="3" s="1"/>
  <c r="E43" i="3" a="1"/>
  <c r="E43" i="3" s="1"/>
  <c r="E89" i="3" s="1"/>
  <c r="D43" i="3" a="1"/>
  <c r="D43" i="3" s="1"/>
  <c r="L42" i="3" a="1"/>
  <c r="L42" i="3" s="1"/>
  <c r="L88" i="3" s="1"/>
  <c r="J42" i="3" a="1"/>
  <c r="J42" i="3" s="1"/>
  <c r="J88" i="3" s="1"/>
  <c r="I42" i="3" a="1"/>
  <c r="I42" i="3" s="1"/>
  <c r="I88" i="3" s="1"/>
  <c r="H42" i="3" a="1"/>
  <c r="H42" i="3" s="1"/>
  <c r="H88" i="3" s="1"/>
  <c r="G42" i="3" a="1"/>
  <c r="G42" i="3" s="1"/>
  <c r="G88" i="3" s="1"/>
  <c r="F42" i="3" a="1"/>
  <c r="F42" i="3" s="1"/>
  <c r="F88" i="3" s="1"/>
  <c r="L41" i="3" a="1"/>
  <c r="L41" i="3" s="1"/>
  <c r="L87" i="3" s="1"/>
  <c r="K41" i="3" a="1"/>
  <c r="K41" i="3" s="1"/>
  <c r="K87" i="3" s="1"/>
  <c r="J41" i="3" a="1"/>
  <c r="J41" i="3" s="1"/>
  <c r="J87" i="3" s="1"/>
  <c r="I41" i="3" a="1"/>
  <c r="I41" i="3" s="1"/>
  <c r="I87" i="3" s="1"/>
  <c r="H41" i="3" a="1"/>
  <c r="H41" i="3" s="1"/>
  <c r="H87" i="3" s="1"/>
  <c r="D41" i="3" a="1"/>
  <c r="D41" i="3" s="1"/>
  <c r="M40" i="3" a="1"/>
  <c r="M40" i="3" s="1"/>
  <c r="M86" i="3" s="1"/>
  <c r="L40" i="3" a="1"/>
  <c r="L40" i="3" s="1"/>
  <c r="L86" i="3" s="1"/>
  <c r="K40" i="3" a="1"/>
  <c r="K40" i="3" s="1"/>
  <c r="K86" i="3" s="1"/>
  <c r="J40" i="3" a="1"/>
  <c r="J40" i="3" s="1"/>
  <c r="J86" i="3" s="1"/>
  <c r="F40" i="3" a="1"/>
  <c r="F40" i="3" s="1"/>
  <c r="F86" i="3" s="1"/>
  <c r="E40" i="3" a="1"/>
  <c r="E40" i="3" s="1"/>
  <c r="E86" i="3" s="1"/>
  <c r="D40" i="3" a="1"/>
  <c r="D40" i="3" s="1"/>
  <c r="M39" i="3" a="1"/>
  <c r="M39" i="3" s="1"/>
  <c r="M85" i="3" s="1"/>
  <c r="L39" i="3" a="1"/>
  <c r="L39" i="3" s="1"/>
  <c r="L85" i="3" s="1"/>
  <c r="J39" i="3" a="1"/>
  <c r="J39" i="3" s="1"/>
  <c r="J85" i="3" s="1"/>
  <c r="H39" i="3" a="1"/>
  <c r="H39" i="3" s="1"/>
  <c r="H85" i="3" s="1"/>
  <c r="G39" i="3" a="1"/>
  <c r="G39" i="3" s="1"/>
  <c r="G85" i="3" s="1"/>
  <c r="F39" i="3" a="1"/>
  <c r="F39" i="3" s="1"/>
  <c r="F85" i="3" s="1"/>
  <c r="E39" i="3" a="1"/>
  <c r="E39" i="3" s="1"/>
  <c r="E85" i="3" s="1"/>
  <c r="D39" i="3" a="1"/>
  <c r="D39" i="3" s="1"/>
  <c r="I42" i="2"/>
  <c r="D66" i="3" a="1"/>
  <c r="D66" i="3" s="1"/>
  <c r="D67" i="3" a="1"/>
  <c r="D67" i="3" s="1"/>
  <c r="D64" i="3" a="1"/>
  <c r="D64" i="3" s="1"/>
  <c r="M70" i="3" a="1"/>
  <c r="M70" i="3" s="1"/>
  <c r="M69" i="3" a="1"/>
  <c r="M69" i="3" s="1"/>
  <c r="M68" i="3" a="1"/>
  <c r="M68" i="3" s="1"/>
  <c r="M67" i="3" a="1"/>
  <c r="M67" i="3" s="1"/>
  <c r="M66" i="3" a="1"/>
  <c r="M66" i="3" s="1"/>
  <c r="M65" i="3" a="1"/>
  <c r="M65" i="3" s="1"/>
  <c r="L70" i="3" a="1"/>
  <c r="L70" i="3" s="1"/>
  <c r="L69" i="3" a="1"/>
  <c r="L69" i="3" s="1"/>
  <c r="L68" i="3" a="1"/>
  <c r="L68" i="3" s="1"/>
  <c r="L67" i="3" a="1"/>
  <c r="L67" i="3" s="1"/>
  <c r="L66" i="3" a="1"/>
  <c r="L66" i="3" s="1"/>
  <c r="L65" i="3" a="1"/>
  <c r="L65" i="3" s="1"/>
  <c r="K70" i="3" a="1"/>
  <c r="K70" i="3" s="1"/>
  <c r="K69" i="3" a="1"/>
  <c r="K69" i="3" s="1"/>
  <c r="K68" i="3" a="1"/>
  <c r="K68" i="3" s="1"/>
  <c r="K67" i="3" a="1"/>
  <c r="K67" i="3" s="1"/>
  <c r="K66" i="3" a="1"/>
  <c r="K66" i="3" s="1"/>
  <c r="K65" i="3" a="1"/>
  <c r="K65" i="3" s="1"/>
  <c r="J70" i="3" a="1"/>
  <c r="J70" i="3" s="1"/>
  <c r="J69" i="3" a="1"/>
  <c r="J69" i="3" s="1"/>
  <c r="J68" i="3" a="1"/>
  <c r="J68" i="3" s="1"/>
  <c r="J67" i="3" a="1"/>
  <c r="J67" i="3" s="1"/>
  <c r="J66" i="3" a="1"/>
  <c r="J66" i="3" s="1"/>
  <c r="J65" i="3" a="1"/>
  <c r="J65" i="3" s="1"/>
  <c r="I70" i="3" a="1"/>
  <c r="I70" i="3" s="1"/>
  <c r="I69" i="3" a="1"/>
  <c r="I69" i="3" s="1"/>
  <c r="I68" i="3" a="1"/>
  <c r="I68" i="3" s="1"/>
  <c r="I67" i="3" a="1"/>
  <c r="I67" i="3" s="1"/>
  <c r="I66" i="3" a="1"/>
  <c r="I66" i="3" s="1"/>
  <c r="I65" i="3" a="1"/>
  <c r="I65" i="3" s="1"/>
  <c r="H70" i="3" a="1"/>
  <c r="H70" i="3" s="1"/>
  <c r="H69" i="3" a="1"/>
  <c r="H69" i="3" s="1"/>
  <c r="H68" i="3" a="1"/>
  <c r="H68" i="3" s="1"/>
  <c r="H67" i="3" a="1"/>
  <c r="H67" i="3" s="1"/>
  <c r="H66" i="3" a="1"/>
  <c r="H66" i="3" s="1"/>
  <c r="H65" i="3" a="1"/>
  <c r="H65" i="3" s="1"/>
  <c r="G70" i="3" a="1"/>
  <c r="G70" i="3" s="1"/>
  <c r="G69" i="3" a="1"/>
  <c r="G69" i="3" s="1"/>
  <c r="G68" i="3" a="1"/>
  <c r="G68" i="3" s="1"/>
  <c r="S68" i="3" s="1"/>
  <c r="K124" i="3" s="1"/>
  <c r="G67" i="3" a="1"/>
  <c r="G67" i="3" s="1"/>
  <c r="U67" i="3" s="1"/>
  <c r="H123" i="3" s="1"/>
  <c r="G66" i="3" a="1"/>
  <c r="G66" i="3" s="1"/>
  <c r="G65" i="3" a="1"/>
  <c r="G65" i="3" s="1"/>
  <c r="F70" i="3" a="1"/>
  <c r="F70" i="3" s="1"/>
  <c r="F69" i="3" a="1"/>
  <c r="F69" i="3" s="1"/>
  <c r="F68" i="3" a="1"/>
  <c r="F68" i="3" s="1"/>
  <c r="F67" i="3" a="1"/>
  <c r="F67" i="3" s="1"/>
  <c r="F66" i="3" a="1"/>
  <c r="F66" i="3" s="1"/>
  <c r="U66" i="3" s="1"/>
  <c r="H122" i="3" s="1"/>
  <c r="F65" i="3" a="1"/>
  <c r="F65" i="3" s="1"/>
  <c r="W65" i="3" s="1"/>
  <c r="L121" i="3" s="1"/>
  <c r="F64" i="3" a="1"/>
  <c r="F64" i="3" s="1"/>
  <c r="E70" i="3" a="1"/>
  <c r="E70" i="3" s="1"/>
  <c r="E69" i="3" a="1"/>
  <c r="E69" i="3" s="1"/>
  <c r="E68" i="3" a="1"/>
  <c r="E68" i="3" s="1"/>
  <c r="E67" i="3" a="1"/>
  <c r="E67" i="3" s="1"/>
  <c r="E66" i="3" a="1"/>
  <c r="E66" i="3" s="1"/>
  <c r="E65" i="3" a="1"/>
  <c r="E65" i="3" s="1"/>
  <c r="D70" i="3" a="1"/>
  <c r="D70" i="3" s="1"/>
  <c r="S70" i="3" s="1"/>
  <c r="K126" i="3" s="1"/>
  <c r="D69" i="3" a="1"/>
  <c r="D69" i="3" s="1"/>
  <c r="D68" i="3" a="1"/>
  <c r="D68" i="3" s="1"/>
  <c r="D65" i="3" a="1"/>
  <c r="D65" i="3" s="1"/>
  <c r="M64" i="3" a="1"/>
  <c r="M64" i="3" s="1"/>
  <c r="L64" i="3" a="1"/>
  <c r="L64" i="3" s="1"/>
  <c r="K64" i="3" a="1"/>
  <c r="K64" i="3" s="1"/>
  <c r="J64" i="3" a="1"/>
  <c r="J64" i="3" s="1"/>
  <c r="I64" i="3" a="1"/>
  <c r="I64" i="3" s="1"/>
  <c r="H64" i="3" a="1"/>
  <c r="H64" i="3" s="1"/>
  <c r="G64" i="3" a="1"/>
  <c r="G64" i="3" s="1"/>
  <c r="E64" i="3" a="1"/>
  <c r="E64" i="3" s="1"/>
  <c r="Q15" i="3"/>
  <c r="L110" i="3" s="1"/>
  <c r="Q14" i="3"/>
  <c r="Q13" i="3"/>
  <c r="J110" i="3" s="1"/>
  <c r="Q12" i="3"/>
  <c r="H110" i="3" s="1"/>
  <c r="Q11" i="3"/>
  <c r="I110" i="3" s="1"/>
  <c r="Q10" i="3"/>
  <c r="M10" i="3"/>
  <c r="M11" i="3"/>
  <c r="L11" i="3"/>
  <c r="F110" i="3" s="1"/>
  <c r="L10" i="3"/>
  <c r="L9" i="3"/>
  <c r="E110" i="3" s="1"/>
  <c r="G42" i="2"/>
  <c r="H42" i="2"/>
  <c r="J42" i="2"/>
  <c r="K42" i="2"/>
  <c r="L42" i="2"/>
  <c r="M42" i="2"/>
  <c r="F42" i="2"/>
  <c r="E42" i="2"/>
  <c r="D42" i="2"/>
  <c r="E47" i="2"/>
  <c r="G47" i="2"/>
  <c r="E46" i="2"/>
  <c r="E69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E66" i="2"/>
  <c r="E67" i="2"/>
  <c r="E68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G65" i="2"/>
  <c r="F65" i="2"/>
  <c r="E65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45" i="2"/>
  <c r="J46" i="2"/>
  <c r="J44" i="2"/>
  <c r="G45" i="2"/>
  <c r="G46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44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45" i="2"/>
  <c r="F44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45" i="2"/>
  <c r="E44" i="2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8" i="2"/>
  <c r="C8" i="2" s="1"/>
  <c r="T66" i="3" l="1"/>
  <c r="I122" i="3" s="1"/>
  <c r="P66" i="3"/>
  <c r="S65" i="3"/>
  <c r="K121" i="3" s="1"/>
  <c r="U65" i="3"/>
  <c r="H121" i="3" s="1"/>
  <c r="W67" i="3"/>
  <c r="L123" i="3" s="1"/>
  <c r="S69" i="3"/>
  <c r="K125" i="3" s="1"/>
  <c r="N66" i="3"/>
  <c r="E122" i="3" s="1"/>
  <c r="T68" i="3"/>
  <c r="I124" i="3" s="1"/>
  <c r="D91" i="3" a="1"/>
  <c r="D91" i="3" s="1"/>
  <c r="D90" i="3" a="1"/>
  <c r="D90" i="3" s="1"/>
  <c r="D89" i="3" a="1"/>
  <c r="D89" i="3" s="1"/>
  <c r="D88" i="3" a="1"/>
  <c r="D88" i="3" s="1"/>
  <c r="D87" i="3" a="1"/>
  <c r="D87" i="3" s="1"/>
  <c r="D86" i="3" a="1"/>
  <c r="D86" i="3" s="1"/>
  <c r="D85" i="3" a="1"/>
  <c r="D85" i="3" s="1"/>
  <c r="F122" i="3"/>
  <c r="R66" i="3"/>
  <c r="M122" i="3" s="1"/>
  <c r="W68" i="3"/>
  <c r="L124" i="3" s="1"/>
  <c r="S64" i="3"/>
  <c r="K120" i="3" s="1"/>
  <c r="N65" i="3"/>
  <c r="E121" i="3" s="1"/>
  <c r="O68" i="3"/>
  <c r="T67" i="3"/>
  <c r="I123" i="3" s="1"/>
  <c r="V70" i="3"/>
  <c r="J126" i="3" s="1"/>
  <c r="N67" i="3"/>
  <c r="E123" i="3" s="1"/>
  <c r="O64" i="3"/>
  <c r="T65" i="3"/>
  <c r="I121" i="3" s="1"/>
  <c r="W70" i="3"/>
  <c r="L126" i="3" s="1"/>
  <c r="N64" i="3"/>
  <c r="O70" i="3"/>
  <c r="P69" i="3"/>
  <c r="U64" i="3"/>
  <c r="H120" i="3" s="1"/>
  <c r="V69" i="3"/>
  <c r="J125" i="3" s="1"/>
  <c r="W69" i="3"/>
  <c r="L125" i="3" s="1"/>
  <c r="P64" i="3"/>
  <c r="S67" i="3"/>
  <c r="K123" i="3" s="1"/>
  <c r="W64" i="3"/>
  <c r="L120" i="3" s="1"/>
  <c r="P70" i="3"/>
  <c r="S66" i="3"/>
  <c r="K122" i="3" s="1"/>
  <c r="V64" i="3"/>
  <c r="J120" i="3" s="1"/>
  <c r="N70" i="3"/>
  <c r="E126" i="3" s="1"/>
  <c r="O69" i="3"/>
  <c r="P68" i="3"/>
  <c r="T64" i="3"/>
  <c r="I120" i="3" s="1"/>
  <c r="U70" i="3"/>
  <c r="H126" i="3" s="1"/>
  <c r="V68" i="3"/>
  <c r="J124" i="3" s="1"/>
  <c r="N69" i="3"/>
  <c r="E125" i="3" s="1"/>
  <c r="O67" i="3"/>
  <c r="T70" i="3"/>
  <c r="I126" i="3" s="1"/>
  <c r="U69" i="3"/>
  <c r="H125" i="3" s="1"/>
  <c r="V67" i="3"/>
  <c r="J123" i="3" s="1"/>
  <c r="N68" i="3"/>
  <c r="E124" i="3" s="1"/>
  <c r="O66" i="3"/>
  <c r="P65" i="3"/>
  <c r="T69" i="3"/>
  <c r="I125" i="3" s="1"/>
  <c r="U68" i="3"/>
  <c r="H124" i="3" s="1"/>
  <c r="V66" i="3"/>
  <c r="J122" i="3" s="1"/>
  <c r="W66" i="3"/>
  <c r="L122" i="3" s="1"/>
  <c r="O65" i="3"/>
  <c r="P67" i="3"/>
  <c r="V65" i="3"/>
  <c r="J121" i="3" s="1"/>
  <c r="W44" i="3"/>
  <c r="L118" i="3" s="1"/>
  <c r="W45" i="3"/>
  <c r="L119" i="3" s="1"/>
  <c r="W40" i="3"/>
  <c r="L114" i="3" s="1"/>
  <c r="W41" i="3"/>
  <c r="L115" i="3" s="1"/>
  <c r="N45" i="3"/>
  <c r="E119" i="3" s="1"/>
  <c r="W43" i="3"/>
  <c r="L117" i="3" s="1"/>
  <c r="W42" i="3"/>
  <c r="L116" i="3" s="1"/>
  <c r="V45" i="3"/>
  <c r="J119" i="3" s="1"/>
  <c r="V41" i="3"/>
  <c r="J115" i="3" s="1"/>
  <c r="U43" i="3"/>
  <c r="H117" i="3" s="1"/>
  <c r="U42" i="3"/>
  <c r="H116" i="3" s="1"/>
  <c r="U44" i="3"/>
  <c r="H118" i="3" s="1"/>
  <c r="V44" i="3"/>
  <c r="J118" i="3" s="1"/>
  <c r="V43" i="3"/>
  <c r="J117" i="3" s="1"/>
  <c r="U45" i="3"/>
  <c r="H119" i="3" s="1"/>
  <c r="V42" i="3"/>
  <c r="J116" i="3" s="1"/>
  <c r="U40" i="3"/>
  <c r="H114" i="3" s="1"/>
  <c r="U41" i="3"/>
  <c r="H115" i="3" s="1"/>
  <c r="V40" i="3"/>
  <c r="J114" i="3" s="1"/>
  <c r="T45" i="3"/>
  <c r="I119" i="3" s="1"/>
  <c r="T41" i="3"/>
  <c r="I115" i="3" s="1"/>
  <c r="S43" i="3"/>
  <c r="K117" i="3" s="1"/>
  <c r="S42" i="3"/>
  <c r="K116" i="3" s="1"/>
  <c r="S44" i="3"/>
  <c r="K118" i="3" s="1"/>
  <c r="T44" i="3"/>
  <c r="I118" i="3" s="1"/>
  <c r="T43" i="3"/>
  <c r="I117" i="3" s="1"/>
  <c r="S45" i="3"/>
  <c r="K119" i="3" s="1"/>
  <c r="T42" i="3"/>
  <c r="I116" i="3" s="1"/>
  <c r="S40" i="3"/>
  <c r="K114" i="3" s="1"/>
  <c r="S41" i="3"/>
  <c r="K115" i="3" s="1"/>
  <c r="T40" i="3"/>
  <c r="I114" i="3" s="1"/>
  <c r="P43" i="3"/>
  <c r="P42" i="3"/>
  <c r="F116" i="3" s="1"/>
  <c r="P44" i="3"/>
  <c r="P45" i="3"/>
  <c r="P40" i="3"/>
  <c r="F114" i="3" s="1"/>
  <c r="P41" i="3"/>
  <c r="O41" i="3"/>
  <c r="N43" i="3"/>
  <c r="E117" i="3" s="1"/>
  <c r="N42" i="3"/>
  <c r="E116" i="3" s="1"/>
  <c r="O45" i="3"/>
  <c r="N44" i="3"/>
  <c r="E118" i="3" s="1"/>
  <c r="O44" i="3"/>
  <c r="O43" i="3"/>
  <c r="O42" i="3"/>
  <c r="N40" i="3"/>
  <c r="E114" i="3" s="1"/>
  <c r="N41" i="3"/>
  <c r="E115" i="3" s="1"/>
  <c r="O40" i="3"/>
  <c r="O39" i="3"/>
  <c r="P39" i="3"/>
  <c r="W39" i="3"/>
  <c r="L113" i="3" s="1"/>
  <c r="N39" i="3"/>
  <c r="S39" i="3"/>
  <c r="K113" i="3" s="1"/>
  <c r="T39" i="3"/>
  <c r="I113" i="3" s="1"/>
  <c r="U39" i="3"/>
  <c r="H113" i="3" s="1"/>
  <c r="V39" i="3"/>
  <c r="J113" i="3" s="1"/>
  <c r="M12" i="3"/>
  <c r="L12" i="3"/>
  <c r="G110" i="3" s="1"/>
  <c r="F20" i="2"/>
  <c r="F22" i="2"/>
  <c r="F23" i="2"/>
  <c r="F24" i="2"/>
  <c r="F16" i="2"/>
  <c r="F15" i="2"/>
  <c r="F14" i="2"/>
  <c r="F12" i="2"/>
  <c r="F27" i="2"/>
  <c r="F19" i="2"/>
  <c r="F11" i="2"/>
  <c r="F21" i="2"/>
  <c r="F26" i="2"/>
  <c r="F18" i="2"/>
  <c r="F10" i="2"/>
  <c r="F13" i="2"/>
  <c r="F25" i="2"/>
  <c r="F17" i="2"/>
  <c r="F9" i="2"/>
  <c r="F8" i="2"/>
  <c r="E24" i="2"/>
  <c r="E22" i="2"/>
  <c r="E15" i="2"/>
  <c r="E23" i="2"/>
  <c r="E16" i="2"/>
  <c r="E14" i="2"/>
  <c r="E20" i="2"/>
  <c r="E27" i="2"/>
  <c r="E19" i="2"/>
  <c r="E11" i="2"/>
  <c r="E21" i="2"/>
  <c r="E12" i="2"/>
  <c r="E26" i="2"/>
  <c r="E18" i="2"/>
  <c r="E10" i="2"/>
  <c r="E13" i="2"/>
  <c r="E25" i="2"/>
  <c r="E17" i="2"/>
  <c r="E9" i="2"/>
  <c r="D24" i="2"/>
  <c r="D16" i="2"/>
  <c r="D15" i="2"/>
  <c r="D23" i="2"/>
  <c r="D14" i="2"/>
  <c r="D22" i="2"/>
  <c r="E8" i="2"/>
  <c r="D13" i="2"/>
  <c r="D20" i="2"/>
  <c r="D27" i="2"/>
  <c r="D19" i="2"/>
  <c r="D11" i="2"/>
  <c r="D21" i="2"/>
  <c r="D12" i="2"/>
  <c r="D26" i="2"/>
  <c r="D18" i="2"/>
  <c r="D10" i="2"/>
  <c r="D25" i="2"/>
  <c r="D17" i="2"/>
  <c r="D9" i="2"/>
  <c r="D8" i="2"/>
  <c r="R39" i="3" l="1"/>
  <c r="Q66" i="3"/>
  <c r="G122" i="3" s="1"/>
  <c r="U82" i="3"/>
  <c r="U78" i="3"/>
  <c r="N78" i="3"/>
  <c r="E111" i="3" s="1"/>
  <c r="O78" i="3"/>
  <c r="U81" i="3"/>
  <c r="J111" i="3" s="1"/>
  <c r="U77" i="3"/>
  <c r="K111" i="3" s="1"/>
  <c r="P78" i="3"/>
  <c r="F111" i="3" s="1"/>
  <c r="U83" i="3"/>
  <c r="L111" i="3" s="1"/>
  <c r="U79" i="3"/>
  <c r="I111" i="3" s="1"/>
  <c r="U80" i="3"/>
  <c r="H111" i="3" s="1"/>
  <c r="E113" i="3"/>
  <c r="N46" i="3"/>
  <c r="F124" i="3"/>
  <c r="R68" i="3"/>
  <c r="M124" i="3" s="1"/>
  <c r="Q68" i="3"/>
  <c r="G124" i="3" s="1"/>
  <c r="F121" i="3"/>
  <c r="R65" i="3"/>
  <c r="M121" i="3" s="1"/>
  <c r="Q65" i="3"/>
  <c r="G121" i="3" s="1"/>
  <c r="Q69" i="3"/>
  <c r="G125" i="3" s="1"/>
  <c r="F125" i="3"/>
  <c r="R69" i="3"/>
  <c r="M125" i="3" s="1"/>
  <c r="E120" i="3"/>
  <c r="M120" i="3"/>
  <c r="F120" i="3"/>
  <c r="Q64" i="3"/>
  <c r="G120" i="3" s="1"/>
  <c r="Q70" i="3"/>
  <c r="G126" i="3" s="1"/>
  <c r="R70" i="3"/>
  <c r="M126" i="3" s="1"/>
  <c r="F126" i="3"/>
  <c r="F123" i="3"/>
  <c r="Q67" i="3"/>
  <c r="G123" i="3" s="1"/>
  <c r="R67" i="3"/>
  <c r="M123" i="3" s="1"/>
  <c r="R41" i="3"/>
  <c r="M115" i="3" s="1"/>
  <c r="F115" i="3"/>
  <c r="F119" i="3"/>
  <c r="R45" i="3"/>
  <c r="M119" i="3" s="1"/>
  <c r="F113" i="3"/>
  <c r="R44" i="3"/>
  <c r="M118" i="3" s="1"/>
  <c r="F118" i="3"/>
  <c r="R43" i="3"/>
  <c r="M117" i="3" s="1"/>
  <c r="F117" i="3"/>
  <c r="Q40" i="3"/>
  <c r="G114" i="3" s="1"/>
  <c r="R40" i="3"/>
  <c r="M114" i="3" s="1"/>
  <c r="Q45" i="3"/>
  <c r="G119" i="3" s="1"/>
  <c r="Q42" i="3"/>
  <c r="G116" i="3" s="1"/>
  <c r="R42" i="3"/>
  <c r="M116" i="3" s="1"/>
  <c r="Q41" i="3"/>
  <c r="G115" i="3" s="1"/>
  <c r="Q39" i="3"/>
  <c r="G113" i="3" s="1"/>
  <c r="Q44" i="3"/>
  <c r="G118" i="3" s="1"/>
  <c r="Q43" i="3"/>
  <c r="G117" i="3" s="1"/>
  <c r="L128" i="3" l="1"/>
  <c r="L129" i="3"/>
  <c r="K128" i="3"/>
  <c r="K129" i="3"/>
  <c r="J128" i="3"/>
  <c r="J129" i="3"/>
  <c r="I128" i="3"/>
  <c r="I129" i="3"/>
  <c r="H128" i="3"/>
  <c r="H129" i="3"/>
  <c r="F129" i="3"/>
  <c r="F128" i="3"/>
  <c r="E128" i="3"/>
  <c r="E129" i="3"/>
  <c r="R78" i="3"/>
  <c r="M111" i="3" s="1"/>
  <c r="Q78" i="3"/>
  <c r="G111" i="3" s="1"/>
  <c r="M113" i="3"/>
  <c r="G128" i="3" l="1"/>
  <c r="G1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<sst xmlns="http://schemas.openxmlformats.org/spreadsheetml/2006/main" count="213" uniqueCount="148">
  <si>
    <t>СЛЧИС()</t>
  </si>
  <si>
    <t>СЛЧИС()*50</t>
  </si>
  <si>
    <t>СЛЧИС()*12</t>
  </si>
  <si>
    <t>СЛЧИС()/10</t>
  </si>
  <si>
    <t>7+СЛЧИС()*12</t>
  </si>
  <si>
    <t>Таблица случайных чисел от 1 до 1000</t>
  </si>
  <si>
    <t>Набор</t>
  </si>
  <si>
    <t>Набор для случайного отбора</t>
  </si>
  <si>
    <t>Набор 1</t>
  </si>
  <si>
    <t>Набор 2</t>
  </si>
  <si>
    <t>Набор 3</t>
  </si>
  <si>
    <t>Набор 4</t>
  </si>
  <si>
    <t>Случайный отбор</t>
  </si>
  <si>
    <t>Выборка 1</t>
  </si>
  <si>
    <t>Выборка 2</t>
  </si>
  <si>
    <t>Выборка 3</t>
  </si>
  <si>
    <t>Выборка 4</t>
  </si>
  <si>
    <t>Ср. знач</t>
  </si>
  <si>
    <t>Дисп</t>
  </si>
  <si>
    <t>ст. откл.</t>
  </si>
  <si>
    <t>коэф. Вар.</t>
  </si>
  <si>
    <t>ош. Ср.</t>
  </si>
  <si>
    <t>Набор для систематического отбора</t>
  </si>
  <si>
    <t>Ошибка среднего</t>
  </si>
  <si>
    <t>Выборка 8</t>
  </si>
  <si>
    <t>Среднее</t>
  </si>
  <si>
    <t>Медиана</t>
  </si>
  <si>
    <t xml:space="preserve">Ст. отклонение </t>
  </si>
  <si>
    <t>Коэффициент вариации</t>
  </si>
  <si>
    <t>Дисперсия</t>
  </si>
  <si>
    <t>систематический отбор</t>
  </si>
  <si>
    <t>Набор 5</t>
  </si>
  <si>
    <t>Набор 6</t>
  </si>
  <si>
    <t>Набор 7</t>
  </si>
  <si>
    <t>Набор 8</t>
  </si>
  <si>
    <t>Выборка 5</t>
  </si>
  <si>
    <t>Выборка 6</t>
  </si>
  <si>
    <t>Выборка 7</t>
  </si>
  <si>
    <t>Ст. откл.</t>
  </si>
  <si>
    <t>Функция равномерно распределенное случайное число. Таблица случайных чисел</t>
  </si>
  <si>
    <t>Что вычисляет фукция СЛЧИС()?</t>
  </si>
  <si>
    <t xml:space="preserve">Вычисляются случайные числа в диапазоне от до </t>
  </si>
  <si>
    <t>от</t>
  </si>
  <si>
    <t>дo</t>
  </si>
  <si>
    <t xml:space="preserve">СЛЧИС()*VAR                                            </t>
  </si>
  <si>
    <t xml:space="preserve">СЛЧИС()*(4+ VAR)                             </t>
  </si>
  <si>
    <t xml:space="preserve">СЛЧИС()/ VAR                                                </t>
  </si>
  <si>
    <t xml:space="preserve">VAR+СЛЧИС()*11   </t>
  </si>
  <si>
    <t>до</t>
  </si>
  <si>
    <t>Формула</t>
  </si>
  <si>
    <t>Конкретно</t>
  </si>
  <si>
    <t>Содержание гумуса , в %</t>
  </si>
  <si>
    <t xml:space="preserve">Систематическая и случайная выборки. </t>
  </si>
  <si>
    <t>Ошибка среднего как характеристика особенностей пробоотбора.</t>
  </si>
  <si>
    <t>Харатеристики генеральной совокупности</t>
  </si>
  <si>
    <t>Квантили</t>
  </si>
  <si>
    <t>Xn(гамма)</t>
  </si>
  <si>
    <t>Гамма</t>
  </si>
  <si>
    <t>Минимум</t>
  </si>
  <si>
    <t>Максимум</t>
  </si>
  <si>
    <t>Нижний дециль</t>
  </si>
  <si>
    <t>Нижний квартиль</t>
  </si>
  <si>
    <t>Верхний квартиль</t>
  </si>
  <si>
    <t>Верхний дециль</t>
  </si>
  <si>
    <t>да/нет</t>
  </si>
  <si>
    <t>Является ли распределение  симметричным?</t>
  </si>
  <si>
    <t>Нижн. кватиль</t>
  </si>
  <si>
    <t>Верхн. кватиль</t>
  </si>
  <si>
    <t>Нижн. Дециль</t>
  </si>
  <si>
    <t>Верхн. Дециль</t>
  </si>
  <si>
    <t>Вопросы</t>
  </si>
  <si>
    <t>Почему не расчитываем ошибку среднего для генеральной совокупности?</t>
  </si>
  <si>
    <t xml:space="preserve">Генеральное  значение </t>
  </si>
  <si>
    <t>Ст. отк</t>
  </si>
  <si>
    <t>Коэф. Вар.</t>
  </si>
  <si>
    <t>Ниж. Кв.</t>
  </si>
  <si>
    <t>Верхн. Кв.</t>
  </si>
  <si>
    <t>Мин</t>
  </si>
  <si>
    <t>Макс</t>
  </si>
  <si>
    <t>выборка 1 объема 10</t>
  </si>
  <si>
    <t>выборка 2 объема 10</t>
  </si>
  <si>
    <t>выборка3 объема 10</t>
  </si>
  <si>
    <t>выборка 4 объема 10</t>
  </si>
  <si>
    <t>выборка 5 объема 10</t>
  </si>
  <si>
    <t>выборка 6 объема 10</t>
  </si>
  <si>
    <t>выборка 7 объема 10</t>
  </si>
  <si>
    <t>выборка 8 объема 10</t>
  </si>
  <si>
    <t>Что характеризуют собой данные</t>
  </si>
  <si>
    <t>Среднее из 7</t>
  </si>
  <si>
    <t>Ст.откл.из 7</t>
  </si>
  <si>
    <t>Набор 9</t>
  </si>
  <si>
    <t>Набор 10</t>
  </si>
  <si>
    <t>Набор 11</t>
  </si>
  <si>
    <t>Набор 12</t>
  </si>
  <si>
    <t>Набор 13</t>
  </si>
  <si>
    <t>Набор 14</t>
  </si>
  <si>
    <t>Выборка 9</t>
  </si>
  <si>
    <t>Выборка 10</t>
  </si>
  <si>
    <t>Выборка 11</t>
  </si>
  <si>
    <t>Выборка 12</t>
  </si>
  <si>
    <t>Выборка 13</t>
  </si>
  <si>
    <t>Выборка 14</t>
  </si>
  <si>
    <t>Выборка объема 140</t>
  </si>
  <si>
    <t>Что характеризует ошибка среднего?</t>
  </si>
  <si>
    <t>выборка 9 объема 10</t>
  </si>
  <si>
    <t>выборка 10 объема 10</t>
  </si>
  <si>
    <t>выборка 11 объема 10</t>
  </si>
  <si>
    <t>выборка 12 объема 10</t>
  </si>
  <si>
    <t>выборка 13 объема 10</t>
  </si>
  <si>
    <t>выборка 14 объема 10</t>
  </si>
  <si>
    <t>Харатеристики генеральной совокупности из R</t>
  </si>
  <si>
    <t xml:space="preserve">тут должен быть график квантилей </t>
  </si>
  <si>
    <t xml:space="preserve">Похожи ли графики для генеральной совокупности </t>
  </si>
  <si>
    <t>и для выборки 140?</t>
  </si>
  <si>
    <t>Выборка  140 из R</t>
  </si>
  <si>
    <t>ЗАДАНИЕ 4.1</t>
  </si>
  <si>
    <t>ЗАДАНИЕ 4.2</t>
  </si>
  <si>
    <t>По выборке какого объема точнее оцениваются характеристики? Опишите для среднего, медианы и квартилей, какие из них более устойчивы</t>
  </si>
  <si>
    <t>минимум</t>
  </si>
  <si>
    <t>максимум</t>
  </si>
  <si>
    <t>на примере  выборки объема 10</t>
  </si>
  <si>
    <t xml:space="preserve">СЛЧИС()*10                             [0            </t>
  </si>
  <si>
    <t>[</t>
  </si>
  <si>
    <t>)</t>
  </si>
  <si>
    <t xml:space="preserve">СЛЧИС()*(4+ 10)                             </t>
  </si>
  <si>
    <t xml:space="preserve">СЛЧИС()/ 10                                                </t>
  </si>
  <si>
    <t>0.1</t>
  </si>
  <si>
    <t>*Для 28 варианта например будет [0 ; 0.03571428571)</t>
  </si>
  <si>
    <t xml:space="preserve">10+СЛЧИС()*11   </t>
  </si>
  <si>
    <t>Случайное число между [0 и 1)</t>
  </si>
  <si>
    <t>Вариант 10.</t>
  </si>
  <si>
    <t>Студент Соколов П.С.</t>
  </si>
  <si>
    <t>да</t>
  </si>
  <si>
    <t>Распределение равномерно распределенное?</t>
  </si>
  <si>
    <t>Вопрос</t>
  </si>
  <si>
    <t>Содержание гумуса (%). Результаты площадного опробования сельхозугодья 10 на черноземных почвах. Случайным образом на поле было отобрано 1000 образцов. Так как объем выборки очень большой, будем считать её ГЕНЕРАЛЬНОЙ совокупностью</t>
  </si>
  <si>
    <t xml:space="preserve">Студент Соколов П.С. </t>
  </si>
  <si>
    <t>Верхн. квартиль</t>
  </si>
  <si>
    <t>Ош. Средн</t>
  </si>
  <si>
    <t>Генеральная совокупность включает все элементы выборки, ош. среднего это мера разброса, относительно неё</t>
  </si>
  <si>
    <t>ДА</t>
  </si>
  <si>
    <t>V1 "V2"</t>
  </si>
  <si>
    <t>1 "Srednee" 2,82785714285714</t>
  </si>
  <si>
    <t>2 "StandOtkl" 1,34137628544613</t>
  </si>
  <si>
    <t>3 "KoefVar" 47,4343723067587</t>
  </si>
  <si>
    <t>4 "OshSred" 0,113366987483673</t>
  </si>
  <si>
    <t>5 "Disp" 1,79929033915725</t>
  </si>
  <si>
    <t>Стандартное отклонение всех средних выборок объема n, ивлекаемое из ген совокупности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</si>
</sst>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color rgb="FF7F7F7F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color rgb="FF7030A0"/>
      <name val="Times New Roman"/>
      <family val="1"/>
      <charset val="204"/>
    </font>
    <font>
      <b/>
      <i/>
      <sz val="10"/>
      <name val="Arial Cyr"/>
      <charset val="204"/>
    </font>
    <font>
      <sz val="10"/>
      <name val="Calibri"/>
      <family val="2"/>
      <charset val="204"/>
    </font>
    <font>
      <b/>
      <i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</cellStyleXfs>
  <cellXfs count="186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/>
    <xf numFmtId="0" fontId="0" fillId="0" borderId="0" xfId="0" applyBorder="1"/>
    <xf numFmtId="0" fontId="0" fillId="0" borderId="0" xfId="0" applyAlignment="1">
      <alignment horizontal="center" vertical="center"/>
    </xf>
    <xf numFmtId="0" fontId="8" fillId="0" borderId="0" xfId="0" applyFont="1"/>
    <xf numFmtId="0" fontId="4" fillId="0" borderId="0" xfId="3" applyNumberFormat="1" applyFont="1"/>
    <xf numFmtId="0" fontId="9" fillId="0" borderId="0" xfId="0" applyFont="1"/>
    <xf numFmtId="0" fontId="9" fillId="3" borderId="0" xfId="0" applyFont="1" applyFill="1"/>
    <xf numFmtId="0" fontId="9" fillId="0" borderId="0" xfId="0" applyFont="1" applyBorder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/>
    <xf numFmtId="0" fontId="6" fillId="0" borderId="1" xfId="3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2" fontId="6" fillId="0" borderId="10" xfId="0" applyNumberFormat="1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9" fontId="6" fillId="0" borderId="12" xfId="1" applyFont="1" applyBorder="1" applyAlignment="1">
      <alignment horizontal="center"/>
    </xf>
    <xf numFmtId="0" fontId="6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/>
    <xf numFmtId="2" fontId="8" fillId="0" borderId="0" xfId="0" applyNumberFormat="1" applyFont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0" xfId="0" applyFont="1" applyFill="1"/>
    <xf numFmtId="0" fontId="8" fillId="0" borderId="0" xfId="0" applyFont="1" applyFill="1"/>
    <xf numFmtId="0" fontId="10" fillId="0" borderId="13" xfId="0" applyFont="1" applyFill="1" applyBorder="1" applyAlignment="1">
      <alignment horizontal="center" vertical="center"/>
    </xf>
    <xf numFmtId="165" fontId="8" fillId="0" borderId="0" xfId="0" applyNumberFormat="1" applyFont="1"/>
    <xf numFmtId="0" fontId="8" fillId="0" borderId="0" xfId="0" applyFont="1" applyFill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4" fontId="8" fillId="6" borderId="1" xfId="0" applyNumberFormat="1" applyFont="1" applyFill="1" applyBorder="1"/>
    <xf numFmtId="2" fontId="8" fillId="0" borderId="14" xfId="0" applyNumberFormat="1" applyFont="1" applyBorder="1"/>
    <xf numFmtId="164" fontId="8" fillId="0" borderId="1" xfId="0" applyNumberFormat="1" applyFont="1" applyBorder="1"/>
    <xf numFmtId="0" fontId="8" fillId="2" borderId="16" xfId="0" applyFont="1" applyFill="1" applyBorder="1" applyAlignment="1">
      <alignment horizontal="center"/>
    </xf>
    <xf numFmtId="164" fontId="8" fillId="5" borderId="16" xfId="0" applyNumberFormat="1" applyFont="1" applyFill="1" applyBorder="1" applyAlignment="1">
      <alignment horizontal="center"/>
    </xf>
    <xf numFmtId="0" fontId="0" fillId="4" borderId="0" xfId="0" applyFill="1"/>
    <xf numFmtId="2" fontId="8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2" fontId="10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ill="1" applyBorder="1"/>
    <xf numFmtId="0" fontId="8" fillId="0" borderId="0" xfId="0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/>
    <xf numFmtId="0" fontId="0" fillId="0" borderId="0" xfId="0"/>
    <xf numFmtId="0" fontId="12" fillId="0" borderId="0" xfId="0" applyFont="1" applyBorder="1" applyAlignment="1"/>
    <xf numFmtId="0" fontId="13" fillId="0" borderId="0" xfId="0" applyFont="1" applyFill="1" applyBorder="1" applyAlignment="1">
      <alignment horizontal="right" vertical="top"/>
    </xf>
    <xf numFmtId="0" fontId="0" fillId="0" borderId="0" xfId="0" applyFill="1" applyBorder="1" applyAlignment="1">
      <alignment horizontal="center" vertical="top" wrapText="1"/>
    </xf>
    <xf numFmtId="2" fontId="0" fillId="0" borderId="0" xfId="0" applyNumberFormat="1" applyFill="1" applyBorder="1" applyAlignment="1">
      <alignment horizontal="center" vertical="top" wrapText="1"/>
    </xf>
    <xf numFmtId="165" fontId="8" fillId="0" borderId="0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/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165" fontId="8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top"/>
    </xf>
    <xf numFmtId="165" fontId="8" fillId="0" borderId="0" xfId="0" applyNumberFormat="1" applyFont="1" applyFill="1" applyBorder="1" applyAlignment="1"/>
    <xf numFmtId="2" fontId="16" fillId="0" borderId="0" xfId="0" applyNumberFormat="1" applyFont="1" applyFill="1" applyBorder="1" applyAlignment="1"/>
    <xf numFmtId="2" fontId="8" fillId="0" borderId="0" xfId="0" applyNumberFormat="1" applyFont="1" applyFill="1" applyBorder="1" applyAlignment="1"/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wrapText="1"/>
    </xf>
    <xf numFmtId="9" fontId="8" fillId="0" borderId="0" xfId="0" applyNumberFormat="1" applyFont="1" applyFill="1" applyBorder="1" applyAlignment="1">
      <alignment vertical="center"/>
    </xf>
    <xf numFmtId="2" fontId="6" fillId="4" borderId="10" xfId="0" applyNumberFormat="1" applyFont="1" applyFill="1" applyBorder="1" applyAlignment="1">
      <alignment horizontal="center"/>
    </xf>
    <xf numFmtId="0" fontId="0" fillId="0" borderId="0" xfId="0" applyBorder="1" applyAlignment="1"/>
    <xf numFmtId="2" fontId="11" fillId="4" borderId="1" xfId="0" applyNumberFormat="1" applyFont="1" applyFill="1" applyBorder="1" applyAlignment="1">
      <alignment horizontal="center"/>
    </xf>
    <xf numFmtId="2" fontId="6" fillId="4" borderId="1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0" fillId="4" borderId="1" xfId="0" applyFill="1" applyBorder="1"/>
    <xf numFmtId="0" fontId="17" fillId="0" borderId="0" xfId="0" applyFont="1"/>
    <xf numFmtId="0" fontId="8" fillId="0" borderId="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9" fontId="8" fillId="0" borderId="1" xfId="0" applyNumberFormat="1" applyFont="1" applyBorder="1" applyAlignment="1">
      <alignment horizontal="center"/>
    </xf>
    <xf numFmtId="1" fontId="0" fillId="9" borderId="1" xfId="0" applyNumberFormat="1" applyFill="1" applyBorder="1" applyAlignment="1">
      <alignment horizontal="center" vertical="center"/>
    </xf>
    <xf numFmtId="2" fontId="8" fillId="9" borderId="1" xfId="0" applyNumberFormat="1" applyFont="1" applyFill="1" applyBorder="1"/>
    <xf numFmtId="9" fontId="8" fillId="9" borderId="1" xfId="0" applyNumberFormat="1" applyFont="1" applyFill="1" applyBorder="1" applyAlignment="1">
      <alignment horizontal="center"/>
    </xf>
    <xf numFmtId="2" fontId="8" fillId="9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" fontId="8" fillId="8" borderId="1" xfId="0" applyNumberFormat="1" applyFont="1" applyFill="1" applyBorder="1" applyAlignment="1">
      <alignment horizontal="center"/>
    </xf>
    <xf numFmtId="2" fontId="8" fillId="8" borderId="1" xfId="0" applyNumberFormat="1" applyFont="1" applyFill="1" applyBorder="1" applyAlignment="1">
      <alignment horizontal="center"/>
    </xf>
    <xf numFmtId="2" fontId="8" fillId="8" borderId="1" xfId="0" applyNumberFormat="1" applyFont="1" applyFill="1" applyBorder="1"/>
    <xf numFmtId="9" fontId="8" fillId="8" borderId="1" xfId="0" applyNumberFormat="1" applyFont="1" applyFill="1" applyBorder="1" applyAlignment="1">
      <alignment horizontal="center"/>
    </xf>
    <xf numFmtId="1" fontId="8" fillId="9" borderId="0" xfId="0" applyNumberFormat="1" applyFont="1" applyFill="1"/>
    <xf numFmtId="0" fontId="8" fillId="9" borderId="0" xfId="0" applyFont="1" applyFill="1"/>
    <xf numFmtId="0" fontId="8" fillId="8" borderId="0" xfId="0" applyFont="1" applyFill="1"/>
    <xf numFmtId="0" fontId="0" fillId="9" borderId="0" xfId="0" applyFill="1"/>
    <xf numFmtId="0" fontId="8" fillId="9" borderId="0" xfId="0" applyFont="1" applyFill="1" applyAlignment="1">
      <alignment horizontal="right"/>
    </xf>
    <xf numFmtId="2" fontId="8" fillId="9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8" fillId="10" borderId="0" xfId="0" applyFont="1" applyFill="1" applyAlignment="1">
      <alignment horizontal="right"/>
    </xf>
    <xf numFmtId="2" fontId="8" fillId="10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right"/>
    </xf>
    <xf numFmtId="9" fontId="8" fillId="0" borderId="1" xfId="0" applyNumberFormat="1" applyFont="1" applyBorder="1" applyAlignment="1">
      <alignment horizontal="center" vertical="center"/>
    </xf>
    <xf numFmtId="9" fontId="8" fillId="9" borderId="1" xfId="1" applyFont="1" applyFill="1" applyBorder="1" applyAlignment="1">
      <alignment horizontal="center" vertical="center"/>
    </xf>
    <xf numFmtId="9" fontId="8" fillId="10" borderId="1" xfId="1" applyFont="1" applyFill="1" applyBorder="1" applyAlignment="1">
      <alignment horizontal="center" vertical="center"/>
    </xf>
    <xf numFmtId="164" fontId="8" fillId="0" borderId="0" xfId="0" applyNumberFormat="1" applyFont="1"/>
    <xf numFmtId="2" fontId="8" fillId="0" borderId="1" xfId="0" applyNumberFormat="1" applyFont="1" applyFill="1" applyBorder="1"/>
    <xf numFmtId="0" fontId="8" fillId="0" borderId="0" xfId="0" applyFont="1" applyBorder="1"/>
    <xf numFmtId="165" fontId="0" fillId="4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8" fillId="9" borderId="1" xfId="0" applyNumberFormat="1" applyFont="1" applyFill="1" applyBorder="1" applyAlignment="1">
      <alignment horizontal="right" vertical="center"/>
    </xf>
    <xf numFmtId="2" fontId="8" fillId="6" borderId="1" xfId="0" applyNumberFormat="1" applyFont="1" applyFill="1" applyBorder="1"/>
    <xf numFmtId="165" fontId="8" fillId="8" borderId="1" xfId="0" applyNumberFormat="1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8" fillId="9" borderId="1" xfId="0" applyNumberFormat="1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2" fontId="6" fillId="4" borderId="12" xfId="1" applyNumberFormat="1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164" fontId="0" fillId="0" borderId="0" xfId="0" applyNumberFormat="1"/>
    <xf numFmtId="165" fontId="10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7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0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</cellXfs>
  <cellStyles count="4">
    <cellStyle name="Обычный" xfId="0" builtinId="0"/>
    <cellStyle name="Обычный 2" xfId="2" xr:uid="{00000000-0005-0000-0000-000001000000}"/>
    <cellStyle name="Пояснение" xfId="3" builtinId="53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СЛЧИС()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'4.1'!$B$8:$B$27</c:f>
              <c:numCache>
                <c:formatCode>0.000</c:formatCode>
                <c:ptCount val="20"/>
                <c:pt idx="0">
                  <c:v>0.25317549536580941</c:v>
                </c:pt>
                <c:pt idx="1">
                  <c:v>0.8715040914821055</c:v>
                </c:pt>
                <c:pt idx="2">
                  <c:v>0.70307236322180033</c:v>
                </c:pt>
                <c:pt idx="3">
                  <c:v>0.23190528681259259</c:v>
                </c:pt>
                <c:pt idx="4">
                  <c:v>0.74135422837588894</c:v>
                </c:pt>
                <c:pt idx="5">
                  <c:v>6.7803308911769222E-2</c:v>
                </c:pt>
                <c:pt idx="6">
                  <c:v>0.19729557303038403</c:v>
                </c:pt>
                <c:pt idx="7">
                  <c:v>0.31267751270131772</c:v>
                </c:pt>
                <c:pt idx="8">
                  <c:v>0.11498551216218034</c:v>
                </c:pt>
                <c:pt idx="9">
                  <c:v>0.1273164741883962</c:v>
                </c:pt>
                <c:pt idx="10">
                  <c:v>0.54269137341745377</c:v>
                </c:pt>
                <c:pt idx="11">
                  <c:v>0.22849727277969556</c:v>
                </c:pt>
                <c:pt idx="12">
                  <c:v>0.30292009782515605</c:v>
                </c:pt>
                <c:pt idx="13">
                  <c:v>0.25654717497854662</c:v>
                </c:pt>
                <c:pt idx="14">
                  <c:v>0.71471619911696282</c:v>
                </c:pt>
                <c:pt idx="15">
                  <c:v>0.62774091915955532</c:v>
                </c:pt>
                <c:pt idx="16">
                  <c:v>0.31541775649429959</c:v>
                </c:pt>
                <c:pt idx="17">
                  <c:v>0.80122915628557434</c:v>
                </c:pt>
                <c:pt idx="18">
                  <c:v>0.41378664148736055</c:v>
                </c:pt>
                <c:pt idx="19">
                  <c:v>0.19865735890797265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1-438E-8A64-EF382172B8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73256928"/>
        <c:axId val="773257888"/>
      </c:scatterChart>
      <c:valAx>
        <c:axId val="77325692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</a:t>
                </a: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257888"/>
        <c:crosses val="autoZero"/>
        <c:crossBetween val="midCat"/>
      </c:valAx>
      <c:valAx>
        <c:axId val="773257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СЛЧИСЛ()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25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СЛЧИС()</a:t>
            </a:r>
            <a:r>
              <a:rPr lang="en-US"/>
              <a:t>*50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360892388451442"/>
          <c:y val="0.15782407407407409"/>
          <c:w val="0.83705774278215228"/>
          <c:h val="0.66438283756197136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'4.1'!$C$8:$C$27</c:f>
              <c:numCache>
                <c:formatCode>0.000</c:formatCode>
                <c:ptCount val="20"/>
                <c:pt idx="0">
                  <c:v>12.658774768290471</c:v>
                </c:pt>
                <c:pt idx="1">
                  <c:v>43.575204574105278</c:v>
                </c:pt>
                <c:pt idx="2">
                  <c:v>35.153618161090016</c:v>
                </c:pt>
                <c:pt idx="3">
                  <c:v>11.59526434062963</c:v>
                </c:pt>
                <c:pt idx="4">
                  <c:v>37.067711418794445</c:v>
                </c:pt>
                <c:pt idx="5">
                  <c:v>3.3901654455884609</c:v>
                </c:pt>
                <c:pt idx="6">
                  <c:v>9.8647786515192024</c:v>
                </c:pt>
                <c:pt idx="7">
                  <c:v>15.633875635065886</c:v>
                </c:pt>
                <c:pt idx="8">
                  <c:v>5.7492756081090164</c:v>
                </c:pt>
                <c:pt idx="9">
                  <c:v>6.3658237094198098</c:v>
                </c:pt>
                <c:pt idx="10">
                  <c:v>27.134568670872689</c:v>
                </c:pt>
                <c:pt idx="11">
                  <c:v>11.424863638984778</c:v>
                </c:pt>
                <c:pt idx="12">
                  <c:v>15.146004891257803</c:v>
                </c:pt>
                <c:pt idx="13">
                  <c:v>12.827358748927331</c:v>
                </c:pt>
                <c:pt idx="14">
                  <c:v>35.73580995584814</c:v>
                </c:pt>
                <c:pt idx="15">
                  <c:v>31.387045957977765</c:v>
                </c:pt>
                <c:pt idx="16">
                  <c:v>15.770887824714979</c:v>
                </c:pt>
                <c:pt idx="17">
                  <c:v>40.061457814278718</c:v>
                </c:pt>
                <c:pt idx="18">
                  <c:v>20.689332074368028</c:v>
                </c:pt>
                <c:pt idx="19">
                  <c:v>9.9328679453986322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5-4116-A860-5572FCDDE8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73256928"/>
        <c:axId val="773257888"/>
      </c:scatterChart>
      <c:valAx>
        <c:axId val="77325692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</a:t>
                </a: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257888"/>
        <c:crosses val="autoZero"/>
        <c:crossBetween val="midCat"/>
      </c:valAx>
      <c:valAx>
        <c:axId val="77325788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СЛЧИСЛ()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24253864100320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325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СЛЧИС()*12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'4.1'!$D$8:$D$27</c:f>
              <c:numCache>
                <c:formatCode>0.000</c:formatCode>
                <c:ptCount val="20"/>
                <c:pt idx="0">
                  <c:v>3.0381059443897129</c:v>
                </c:pt>
                <c:pt idx="1">
                  <c:v>10.458049097785267</c:v>
                </c:pt>
                <c:pt idx="2">
                  <c:v>8.436868358661604</c:v>
                </c:pt>
                <c:pt idx="3">
                  <c:v>2.7828634417511111</c:v>
                </c:pt>
                <c:pt idx="4">
                  <c:v>8.8962507405106663</c:v>
                </c:pt>
                <c:pt idx="5">
                  <c:v>0.81363970694123067</c:v>
                </c:pt>
                <c:pt idx="6">
                  <c:v>2.3675468763646084</c:v>
                </c:pt>
                <c:pt idx="7">
                  <c:v>3.7521301524158126</c:v>
                </c:pt>
                <c:pt idx="8">
                  <c:v>1.379826145946164</c:v>
                </c:pt>
                <c:pt idx="9">
                  <c:v>1.5277976902607544</c:v>
                </c:pt>
                <c:pt idx="10">
                  <c:v>6.5122964810094448</c:v>
                </c:pt>
                <c:pt idx="11">
                  <c:v>2.7419672733563467</c:v>
                </c:pt>
                <c:pt idx="12">
                  <c:v>3.6350411739018726</c:v>
                </c:pt>
                <c:pt idx="13">
                  <c:v>3.0785660997425595</c:v>
                </c:pt>
                <c:pt idx="14">
                  <c:v>8.576594389403553</c:v>
                </c:pt>
                <c:pt idx="15">
                  <c:v>7.5328910299146639</c:v>
                </c:pt>
                <c:pt idx="16">
                  <c:v>3.7850130779315951</c:v>
                </c:pt>
                <c:pt idx="17">
                  <c:v>9.6147498754268916</c:v>
                </c:pt>
                <c:pt idx="18">
                  <c:v>4.9654396978483266</c:v>
                </c:pt>
                <c:pt idx="19">
                  <c:v>2.3838883068956718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77-44B6-B172-020F9E326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084048"/>
        <c:axId val="656608992"/>
      </c:scatterChart>
      <c:valAx>
        <c:axId val="77708404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608992"/>
        <c:crosses val="autoZero"/>
        <c:crossBetween val="midCat"/>
      </c:valAx>
      <c:valAx>
        <c:axId val="656608992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708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СЛЧИС()/10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'4.1'!$E$8:$E$27</c:f>
              <c:numCache>
                <c:formatCode>0.000</c:formatCode>
                <c:ptCount val="20"/>
                <c:pt idx="0">
                  <c:v>2.5317549536580941E-2</c:v>
                </c:pt>
                <c:pt idx="1">
                  <c:v>8.7150409148210553E-2</c:v>
                </c:pt>
                <c:pt idx="2">
                  <c:v>7.0307236322180028E-2</c:v>
                </c:pt>
                <c:pt idx="3">
                  <c:v>2.3190528681259259E-2</c:v>
                </c:pt>
                <c:pt idx="4">
                  <c:v>7.4135422837588894E-2</c:v>
                </c:pt>
                <c:pt idx="5">
                  <c:v>6.7803308911769224E-3</c:v>
                </c:pt>
                <c:pt idx="6">
                  <c:v>1.9729557303038402E-2</c:v>
                </c:pt>
                <c:pt idx="7">
                  <c:v>3.1267751270131774E-2</c:v>
                </c:pt>
                <c:pt idx="8">
                  <c:v>1.1498551216218034E-2</c:v>
                </c:pt>
                <c:pt idx="9">
                  <c:v>1.273164741883962E-2</c:v>
                </c:pt>
                <c:pt idx="10">
                  <c:v>5.4269137341745377E-2</c:v>
                </c:pt>
                <c:pt idx="11">
                  <c:v>2.2849727277969557E-2</c:v>
                </c:pt>
                <c:pt idx="12">
                  <c:v>3.0292009782515606E-2</c:v>
                </c:pt>
                <c:pt idx="13">
                  <c:v>2.5654717497854661E-2</c:v>
                </c:pt>
                <c:pt idx="14">
                  <c:v>7.1471619911696288E-2</c:v>
                </c:pt>
                <c:pt idx="15">
                  <c:v>6.2774091915955538E-2</c:v>
                </c:pt>
                <c:pt idx="16">
                  <c:v>3.1541775649429962E-2</c:v>
                </c:pt>
                <c:pt idx="17">
                  <c:v>8.0122915628557431E-2</c:v>
                </c:pt>
                <c:pt idx="18">
                  <c:v>4.1378664148736054E-2</c:v>
                </c:pt>
                <c:pt idx="19">
                  <c:v>1.9865735890797265E-2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F-4D6A-B8FF-9970D8FFA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491792"/>
        <c:axId val="879486032"/>
      </c:scatterChart>
      <c:valAx>
        <c:axId val="87949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486032"/>
        <c:crosses val="autoZero"/>
        <c:crossBetween val="midCat"/>
      </c:valAx>
      <c:valAx>
        <c:axId val="879486032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49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7+СЛЧИС()*12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'4.1'!$F$8:$F$27</c:f>
              <c:numCache>
                <c:formatCode>0.000</c:formatCode>
                <c:ptCount val="20"/>
                <c:pt idx="0">
                  <c:v>10.038105944389713</c:v>
                </c:pt>
                <c:pt idx="1">
                  <c:v>17.458049097785267</c:v>
                </c:pt>
                <c:pt idx="2">
                  <c:v>15.436868358661604</c:v>
                </c:pt>
                <c:pt idx="3">
                  <c:v>9.7828634417511111</c:v>
                </c:pt>
                <c:pt idx="4">
                  <c:v>15.896250740510666</c:v>
                </c:pt>
                <c:pt idx="5">
                  <c:v>7.8136397069412311</c:v>
                </c:pt>
                <c:pt idx="6">
                  <c:v>9.3675468763646084</c:v>
                </c:pt>
                <c:pt idx="7">
                  <c:v>10.752130152415813</c:v>
                </c:pt>
                <c:pt idx="8">
                  <c:v>8.3798261459461649</c:v>
                </c:pt>
                <c:pt idx="9">
                  <c:v>8.5277976902607548</c:v>
                </c:pt>
                <c:pt idx="10">
                  <c:v>13.512296481009445</c:v>
                </c:pt>
                <c:pt idx="11">
                  <c:v>9.7419672733563463</c:v>
                </c:pt>
                <c:pt idx="12">
                  <c:v>10.635041173901872</c:v>
                </c:pt>
                <c:pt idx="13">
                  <c:v>10.078566099742559</c:v>
                </c:pt>
                <c:pt idx="14">
                  <c:v>15.576594389403553</c:v>
                </c:pt>
                <c:pt idx="15">
                  <c:v>14.532891029914664</c:v>
                </c:pt>
                <c:pt idx="16">
                  <c:v>10.785013077931595</c:v>
                </c:pt>
                <c:pt idx="17">
                  <c:v>16.614749875426892</c:v>
                </c:pt>
                <c:pt idx="18">
                  <c:v>11.965439697848327</c:v>
                </c:pt>
                <c:pt idx="19">
                  <c:v>9.3838883068956722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50-481B-9CA4-E525726F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988080"/>
        <c:axId val="785988560"/>
      </c:scatterChart>
      <c:valAx>
        <c:axId val="78598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5988560"/>
        <c:crosses val="autoZero"/>
        <c:crossBetween val="midCat"/>
      </c:valAx>
      <c:valAx>
        <c:axId val="785988560"/>
        <c:scaling>
          <c:orientation val="minMax"/>
          <c:max val="19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598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Содержание</a:t>
            </a:r>
            <a:r>
              <a:rPr lang="ru-RU" baseline="0"/>
              <a:t> гумуса</a:t>
            </a:r>
          </a:p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(График Квантилей) Генеральной сов. </a:t>
            </a:r>
            <a:r>
              <a:rPr lang="en-US" baseline="0"/>
              <a:t>excel</a:t>
            </a:r>
            <a:endParaRPr lang="ru-RU"/>
          </a:p>
        </c:rich>
      </c:tx>
      <c:layout>
        <c:manualLayout>
          <c:xMode val="edge"/>
          <c:yMode val="edge"/>
          <c:x val="0.23990966754155729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9525"/>
          </c:spPr>
          <c:xVal>
            <c:numRef>
              <c:f>'4.2'!$Q$9:$Q$15</c:f>
              <c:numCache>
                <c:formatCode>0.0</c:formatCode>
                <c:ptCount val="7"/>
                <c:pt idx="0">
                  <c:v>0.2</c:v>
                </c:pt>
                <c:pt idx="1">
                  <c:v>0.89999999999999991</c:v>
                </c:pt>
                <c:pt idx="2">
                  <c:v>1.7</c:v>
                </c:pt>
                <c:pt idx="3">
                  <c:v>2.8000000000000003</c:v>
                </c:pt>
                <c:pt idx="4">
                  <c:v>3.9000000000000004</c:v>
                </c:pt>
                <c:pt idx="5">
                  <c:v>4.8</c:v>
                </c:pt>
                <c:pt idx="6">
                  <c:v>7</c:v>
                </c:pt>
              </c:numCache>
            </c:numRef>
          </c:xVal>
          <c:yVal>
            <c:numRef>
              <c:f>'4.2'!$R$9:$R$15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0.9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32-44DA-9748-613DDDA060AC}"/>
            </c:ext>
          </c:extLst>
        </c:ser>
        <c:ser>
          <c:idx val="0"/>
          <c:order val="1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'4.2'!$Q$9:$Q$15</c:f>
              <c:numCache>
                <c:formatCode>0.0</c:formatCode>
                <c:ptCount val="7"/>
                <c:pt idx="0">
                  <c:v>0.2</c:v>
                </c:pt>
                <c:pt idx="1">
                  <c:v>0.89999999999999991</c:v>
                </c:pt>
                <c:pt idx="2">
                  <c:v>1.7</c:v>
                </c:pt>
                <c:pt idx="3">
                  <c:v>2.8000000000000003</c:v>
                </c:pt>
                <c:pt idx="4">
                  <c:v>3.9000000000000004</c:v>
                </c:pt>
                <c:pt idx="5">
                  <c:v>4.8</c:v>
                </c:pt>
                <c:pt idx="6">
                  <c:v>7</c:v>
                </c:pt>
              </c:numCache>
            </c:numRef>
          </c:xVal>
          <c:yVal>
            <c:numRef>
              <c:f>'4.2'!$R$9:$R$15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0.9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32-44DA-9748-613DDDA06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615360"/>
        <c:axId val="864621600"/>
      </c:scatterChart>
      <c:valAx>
        <c:axId val="864615360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сОДЕРЖАние</a:t>
                </a:r>
                <a:r>
                  <a:rPr lang="ru-RU" baseline="0"/>
                  <a:t> гумуса</a:t>
                </a:r>
                <a:r>
                  <a:rPr lang="en-US" baseline="0"/>
                  <a:t> </a:t>
                </a:r>
                <a:r>
                  <a:rPr lang="ru-RU" baseline="0"/>
                  <a:t>в %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4621600"/>
        <c:crosses val="autoZero"/>
        <c:crossBetween val="midCat"/>
        <c:minorUnit val="0.1"/>
      </c:valAx>
      <c:valAx>
        <c:axId val="864621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Гамма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46153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квантилей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'4.2'!$U$77:$U$83</c:f>
              <c:numCache>
                <c:formatCode>0.00</c:formatCode>
                <c:ptCount val="7"/>
                <c:pt idx="0">
                  <c:v>0.30000000000000004</c:v>
                </c:pt>
                <c:pt idx="1">
                  <c:v>0.99</c:v>
                </c:pt>
                <c:pt idx="2">
                  <c:v>1.5999999999999999</c:v>
                </c:pt>
                <c:pt idx="3">
                  <c:v>2.8500000000000005</c:v>
                </c:pt>
                <c:pt idx="4">
                  <c:v>3.8000000000000003</c:v>
                </c:pt>
                <c:pt idx="5">
                  <c:v>4.8</c:v>
                </c:pt>
                <c:pt idx="6">
                  <c:v>5.6000000000000005</c:v>
                </c:pt>
              </c:numCache>
            </c:numRef>
          </c:xVal>
          <c:yVal>
            <c:numRef>
              <c:f>'4.2'!$V$77:$V$83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0.9</c:v>
                </c:pt>
                <c:pt idx="6" formatCode="0.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07-4816-A0D2-DF118172D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491312"/>
        <c:axId val="879488912"/>
      </c:scatterChart>
      <c:valAx>
        <c:axId val="87949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488912"/>
        <c:crosses val="autoZero"/>
        <c:crossBetween val="midCat"/>
      </c:valAx>
      <c:valAx>
        <c:axId val="8794889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49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СОДЕРЖАНИЕ</a:t>
            </a:r>
            <a:r>
              <a:rPr lang="ru-RU" baseline="0"/>
              <a:t> ГУМУСА </a:t>
            </a:r>
            <a:r>
              <a:rPr lang="en-US" baseline="0"/>
              <a:t>R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'4.2'!$Q$18:$Q$24</c:f>
              <c:numCache>
                <c:formatCode>General</c:formatCode>
                <c:ptCount val="7"/>
                <c:pt idx="0" formatCode="0.00">
                  <c:v>0.4</c:v>
                </c:pt>
                <c:pt idx="1">
                  <c:v>1</c:v>
                </c:pt>
                <c:pt idx="2">
                  <c:v>1.7</c:v>
                </c:pt>
                <c:pt idx="3" formatCode="0.00">
                  <c:v>2.8</c:v>
                </c:pt>
                <c:pt idx="4">
                  <c:v>3.9</c:v>
                </c:pt>
                <c:pt idx="5" formatCode="0.00">
                  <c:v>4.5</c:v>
                </c:pt>
                <c:pt idx="6" formatCode="0.00">
                  <c:v>6.3</c:v>
                </c:pt>
              </c:numCache>
            </c:numRef>
          </c:xVal>
          <c:yVal>
            <c:numRef>
              <c:f>'4.2'!$R$18:$R$24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0.9</c:v>
                </c:pt>
                <c:pt idx="6" formatCode="0.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E-486F-B203-008CA5849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907664"/>
        <c:axId val="1560910544"/>
      </c:scatterChart>
      <c:valAx>
        <c:axId val="156090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0910544"/>
        <c:crosses val="autoZero"/>
        <c:crossBetween val="midCat"/>
      </c:valAx>
      <c:valAx>
        <c:axId val="1560910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090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603249</xdr:colOff>
      <xdr:row>5</xdr:row>
      <xdr:rowOff>14815</xdr:rowOff>
    </xdr:from>
    <xdr:to>
      <xdr:col>15</xdr:col>
      <xdr:colOff>10582</xdr:colOff>
      <xdr:row>17</xdr:row>
      <xdr:rowOff>190499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92FD811-C52E-A463-FD7B-A5CB661E4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601265</xdr:colOff>
      <xdr:row>18</xdr:row>
      <xdr:rowOff>3</xdr:rowOff>
    </xdr:from>
    <xdr:to>
      <xdr:col>15</xdr:col>
      <xdr:colOff>16536</xdr:colOff>
      <xdr:row>31</xdr:row>
      <xdr:rowOff>5953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933E495-99ED-4D46-9509-49525B443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5</xdr:row>
      <xdr:rowOff>14287</xdr:rowOff>
    </xdr:from>
    <xdr:to>
      <xdr:col>23</xdr:col>
      <xdr:colOff>0</xdr:colOff>
      <xdr:row>18</xdr:row>
      <xdr:rowOff>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50A565B3-18F7-55F4-6562-950C90E96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609599</xdr:colOff>
      <xdr:row>18</xdr:row>
      <xdr:rowOff>14287</xdr:rowOff>
    </xdr:from>
    <xdr:to>
      <xdr:col>23</xdr:col>
      <xdr:colOff>28574</xdr:colOff>
      <xdr:row>30</xdr:row>
      <xdr:rowOff>190500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B5828FD5-D449-2A31-5F65-A20BF5C0B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31</xdr:row>
      <xdr:rowOff>14287</xdr:rowOff>
    </xdr:from>
    <xdr:to>
      <xdr:col>23</xdr:col>
      <xdr:colOff>0</xdr:colOff>
      <xdr:row>43</xdr:row>
      <xdr:rowOff>171450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1CC86A7A-811F-CF52-DF43-81FE8AFCB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19050</xdr:rowOff>
    </xdr:from>
    <xdr:to>
      <xdr:col>23</xdr:col>
      <xdr:colOff>142875</xdr:colOff>
      <xdr:row>14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14E049-38E2-DB18-A9E9-900BFFB7F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85</xdr:row>
      <xdr:rowOff>195263</xdr:rowOff>
    </xdr:from>
    <xdr:to>
      <xdr:col>22</xdr:col>
      <xdr:colOff>866775</xdr:colOff>
      <xdr:row>96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78526C-C6AC-6824-2066-EEB18DDFD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928687</xdr:colOff>
      <xdr:row>14</xdr:row>
      <xdr:rowOff>100012</xdr:rowOff>
    </xdr:from>
    <xdr:to>
      <xdr:col>23</xdr:col>
      <xdr:colOff>123825</xdr:colOff>
      <xdr:row>25</xdr:row>
      <xdr:rowOff>85725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7D7893E-595E-4C9F-7910-A2E2ED6E3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zoomScaleNormal="100" workbookViewId="0">
      <selection activeCell="E42" sqref="E42"/>
    </sheetView>
  </sheetViews>
  <sheetFormatPr defaultColWidth="9.140625" defaultRowHeight="15" x14ac:dyDescent="0.25"/>
  <cols>
    <col min="1" max="1" width="9.140625" style="1"/>
    <col min="2" max="2" width="12" style="1" customWidth="1"/>
    <col min="3" max="3" width="12.140625" style="1" customWidth="1"/>
    <col min="4" max="4" width="12.42578125" style="1" customWidth="1"/>
    <col min="5" max="5" width="11.5703125" style="1" customWidth="1"/>
    <col min="6" max="6" width="13.85546875" style="1" customWidth="1"/>
    <col min="7" max="16384" width="9.140625" style="1"/>
  </cols>
  <sheetData>
    <row r="1" spans="1:20" s="16" customFormat="1" ht="15.75" x14ac:dyDescent="0.25">
      <c r="A1" s="15" t="s">
        <v>131</v>
      </c>
      <c r="B1" s="15"/>
      <c r="C1" s="15"/>
      <c r="D1" s="15"/>
      <c r="E1" s="15"/>
      <c r="F1" s="15" t="s">
        <v>130</v>
      </c>
      <c r="G1" s="15"/>
      <c r="H1" s="15"/>
      <c r="I1" s="15"/>
      <c r="J1" s="15"/>
      <c r="K1" s="15"/>
      <c r="O1" s="17"/>
      <c r="S1" s="18"/>
      <c r="T1" s="17"/>
    </row>
    <row r="2" spans="1:20" s="14" customFormat="1" ht="15.75" x14ac:dyDescent="0.25">
      <c r="A2" s="19" t="s">
        <v>115</v>
      </c>
    </row>
    <row r="3" spans="1:20" s="14" customFormat="1" ht="15.75" x14ac:dyDescent="0.25">
      <c r="A3" s="20" t="s">
        <v>39</v>
      </c>
    </row>
    <row r="4" spans="1:20" s="14" customFormat="1" ht="15.75" x14ac:dyDescent="0.25">
      <c r="A4" s="19"/>
    </row>
    <row r="5" spans="1:20" s="14" customFormat="1" ht="15.75" x14ac:dyDescent="0.25">
      <c r="A5" s="19" t="s">
        <v>40</v>
      </c>
      <c r="E5" s="164" t="s">
        <v>129</v>
      </c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6"/>
    </row>
    <row r="7" spans="1:20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</row>
    <row r="8" spans="1:20" x14ac:dyDescent="0.25">
      <c r="B8" s="2">
        <f ca="1">RAND()</f>
        <v>0.25317549536580941</v>
      </c>
      <c r="C8" s="2">
        <f ca="1">B8*50</f>
        <v>12.658774768290471</v>
      </c>
      <c r="D8" s="2">
        <f ca="1">B8*12</f>
        <v>3.0381059443897129</v>
      </c>
      <c r="E8" s="2">
        <f ca="1">B8/10</f>
        <v>2.5317549536580941E-2</v>
      </c>
      <c r="F8" s="2">
        <f ca="1">7 + (B8*12)</f>
        <v>10.038105944389713</v>
      </c>
    </row>
    <row r="9" spans="1:20" x14ac:dyDescent="0.25">
      <c r="B9" s="2">
        <f t="shared" ref="B9:B27" ca="1" si="0">RAND()</f>
        <v>0.8715040914821055</v>
      </c>
      <c r="C9" s="2">
        <f t="shared" ref="C9:C27" ca="1" si="1">B9*50</f>
        <v>43.575204574105278</v>
      </c>
      <c r="D9" s="2">
        <f t="shared" ref="D9:D27" ca="1" si="2">B9*12</f>
        <v>10.458049097785267</v>
      </c>
      <c r="E9" s="2">
        <f t="shared" ref="E9:E27" ca="1" si="3">B9/10</f>
        <v>8.7150409148210553E-2</v>
      </c>
      <c r="F9" s="2">
        <f t="shared" ref="F9:F27" ca="1" si="4">7 + (B9*12)</f>
        <v>17.458049097785267</v>
      </c>
    </row>
    <row r="10" spans="1:20" x14ac:dyDescent="0.25">
      <c r="B10" s="2">
        <f t="shared" ca="1" si="0"/>
        <v>0.70307236322180033</v>
      </c>
      <c r="C10" s="2">
        <f t="shared" ca="1" si="1"/>
        <v>35.153618161090016</v>
      </c>
      <c r="D10" s="2">
        <f t="shared" ca="1" si="2"/>
        <v>8.436868358661604</v>
      </c>
      <c r="E10" s="2">
        <f t="shared" ca="1" si="3"/>
        <v>7.0307236322180028E-2</v>
      </c>
      <c r="F10" s="2">
        <f t="shared" ca="1" si="4"/>
        <v>15.436868358661604</v>
      </c>
    </row>
    <row r="11" spans="1:20" x14ac:dyDescent="0.25">
      <c r="B11" s="2">
        <f t="shared" ca="1" si="0"/>
        <v>0.23190528681259259</v>
      </c>
      <c r="C11" s="2">
        <f t="shared" ca="1" si="1"/>
        <v>11.59526434062963</v>
      </c>
      <c r="D11" s="2">
        <f t="shared" ca="1" si="2"/>
        <v>2.7828634417511111</v>
      </c>
      <c r="E11" s="2">
        <f t="shared" ca="1" si="3"/>
        <v>2.3190528681259259E-2</v>
      </c>
      <c r="F11" s="2">
        <f t="shared" ca="1" si="4"/>
        <v>9.7828634417511111</v>
      </c>
    </row>
    <row r="12" spans="1:20" x14ac:dyDescent="0.25">
      <c r="B12" s="2">
        <f t="shared" ca="1" si="0"/>
        <v>0.74135422837588894</v>
      </c>
      <c r="C12" s="2">
        <f t="shared" ca="1" si="1"/>
        <v>37.067711418794445</v>
      </c>
      <c r="D12" s="2">
        <f t="shared" ca="1" si="2"/>
        <v>8.8962507405106663</v>
      </c>
      <c r="E12" s="2">
        <f t="shared" ca="1" si="3"/>
        <v>7.4135422837588894E-2</v>
      </c>
      <c r="F12" s="2">
        <f t="shared" ca="1" si="4"/>
        <v>15.896250740510666</v>
      </c>
    </row>
    <row r="13" spans="1:20" x14ac:dyDescent="0.25">
      <c r="B13" s="2">
        <f t="shared" ca="1" si="0"/>
        <v>6.7803308911769222E-2</v>
      </c>
      <c r="C13" s="2">
        <f t="shared" ca="1" si="1"/>
        <v>3.3901654455884609</v>
      </c>
      <c r="D13" s="2">
        <f t="shared" ca="1" si="2"/>
        <v>0.81363970694123067</v>
      </c>
      <c r="E13" s="2">
        <f t="shared" ca="1" si="3"/>
        <v>6.7803308911769224E-3</v>
      </c>
      <c r="F13" s="2">
        <f t="shared" ca="1" si="4"/>
        <v>7.8136397069412311</v>
      </c>
    </row>
    <row r="14" spans="1:20" x14ac:dyDescent="0.25">
      <c r="B14" s="2">
        <f t="shared" ca="1" si="0"/>
        <v>0.19729557303038403</v>
      </c>
      <c r="C14" s="2">
        <f t="shared" ca="1" si="1"/>
        <v>9.8647786515192024</v>
      </c>
      <c r="D14" s="2">
        <f t="shared" ca="1" si="2"/>
        <v>2.3675468763646084</v>
      </c>
      <c r="E14" s="2">
        <f t="shared" ca="1" si="3"/>
        <v>1.9729557303038402E-2</v>
      </c>
      <c r="F14" s="2">
        <f t="shared" ca="1" si="4"/>
        <v>9.3675468763646084</v>
      </c>
    </row>
    <row r="15" spans="1:20" x14ac:dyDescent="0.25">
      <c r="B15" s="2">
        <f t="shared" ca="1" si="0"/>
        <v>0.31267751270131772</v>
      </c>
      <c r="C15" s="2">
        <f t="shared" ca="1" si="1"/>
        <v>15.633875635065886</v>
      </c>
      <c r="D15" s="2">
        <f t="shared" ca="1" si="2"/>
        <v>3.7521301524158126</v>
      </c>
      <c r="E15" s="2">
        <f t="shared" ca="1" si="3"/>
        <v>3.1267751270131774E-2</v>
      </c>
      <c r="F15" s="2">
        <f t="shared" ca="1" si="4"/>
        <v>10.752130152415813</v>
      </c>
    </row>
    <row r="16" spans="1:20" x14ac:dyDescent="0.25">
      <c r="B16" s="2">
        <f t="shared" ca="1" si="0"/>
        <v>0.11498551216218034</v>
      </c>
      <c r="C16" s="2">
        <f t="shared" ca="1" si="1"/>
        <v>5.7492756081090164</v>
      </c>
      <c r="D16" s="2">
        <f t="shared" ca="1" si="2"/>
        <v>1.379826145946164</v>
      </c>
      <c r="E16" s="2">
        <f t="shared" ca="1" si="3"/>
        <v>1.1498551216218034E-2</v>
      </c>
      <c r="F16" s="2">
        <f t="shared" ca="1" si="4"/>
        <v>8.3798261459461649</v>
      </c>
    </row>
    <row r="17" spans="1:7" x14ac:dyDescent="0.25">
      <c r="B17" s="2">
        <f t="shared" ca="1" si="0"/>
        <v>0.1273164741883962</v>
      </c>
      <c r="C17" s="2">
        <f t="shared" ca="1" si="1"/>
        <v>6.3658237094198098</v>
      </c>
      <c r="D17" s="2">
        <f t="shared" ca="1" si="2"/>
        <v>1.5277976902607544</v>
      </c>
      <c r="E17" s="2">
        <f t="shared" ca="1" si="3"/>
        <v>1.273164741883962E-2</v>
      </c>
      <c r="F17" s="2">
        <f t="shared" ca="1" si="4"/>
        <v>8.5277976902607548</v>
      </c>
    </row>
    <row r="18" spans="1:7" x14ac:dyDescent="0.25">
      <c r="B18" s="2">
        <f t="shared" ca="1" si="0"/>
        <v>0.54269137341745377</v>
      </c>
      <c r="C18" s="2">
        <f t="shared" ca="1" si="1"/>
        <v>27.134568670872689</v>
      </c>
      <c r="D18" s="2">
        <f t="shared" ca="1" si="2"/>
        <v>6.5122964810094448</v>
      </c>
      <c r="E18" s="2">
        <f t="shared" ca="1" si="3"/>
        <v>5.4269137341745377E-2</v>
      </c>
      <c r="F18" s="2">
        <f t="shared" ca="1" si="4"/>
        <v>13.512296481009445</v>
      </c>
    </row>
    <row r="19" spans="1:7" x14ac:dyDescent="0.25">
      <c r="B19" s="2">
        <f t="shared" ca="1" si="0"/>
        <v>0.22849727277969556</v>
      </c>
      <c r="C19" s="2">
        <f t="shared" ca="1" si="1"/>
        <v>11.424863638984778</v>
      </c>
      <c r="D19" s="2">
        <f t="shared" ca="1" si="2"/>
        <v>2.7419672733563467</v>
      </c>
      <c r="E19" s="2">
        <f t="shared" ca="1" si="3"/>
        <v>2.2849727277969557E-2</v>
      </c>
      <c r="F19" s="2">
        <f t="shared" ca="1" si="4"/>
        <v>9.7419672733563463</v>
      </c>
    </row>
    <row r="20" spans="1:7" x14ac:dyDescent="0.25">
      <c r="B20" s="2">
        <f t="shared" ca="1" si="0"/>
        <v>0.30292009782515605</v>
      </c>
      <c r="C20" s="2">
        <f t="shared" ca="1" si="1"/>
        <v>15.146004891257803</v>
      </c>
      <c r="D20" s="2">
        <f t="shared" ca="1" si="2"/>
        <v>3.6350411739018726</v>
      </c>
      <c r="E20" s="2">
        <f t="shared" ca="1" si="3"/>
        <v>3.0292009782515606E-2</v>
      </c>
      <c r="F20" s="2">
        <f ca="1">7 + (B20*12)</f>
        <v>10.635041173901872</v>
      </c>
    </row>
    <row r="21" spans="1:7" x14ac:dyDescent="0.25">
      <c r="B21" s="2">
        <f t="shared" ca="1" si="0"/>
        <v>0.25654717497854662</v>
      </c>
      <c r="C21" s="2">
        <f t="shared" ca="1" si="1"/>
        <v>12.827358748927331</v>
      </c>
      <c r="D21" s="2">
        <f t="shared" ca="1" si="2"/>
        <v>3.0785660997425595</v>
      </c>
      <c r="E21" s="2">
        <f t="shared" ca="1" si="3"/>
        <v>2.5654717497854661E-2</v>
      </c>
      <c r="F21" s="2">
        <f t="shared" ca="1" si="4"/>
        <v>10.078566099742559</v>
      </c>
    </row>
    <row r="22" spans="1:7" x14ac:dyDescent="0.25">
      <c r="B22" s="2">
        <f t="shared" ca="1" si="0"/>
        <v>0.71471619911696282</v>
      </c>
      <c r="C22" s="2">
        <f t="shared" ca="1" si="1"/>
        <v>35.73580995584814</v>
      </c>
      <c r="D22" s="2">
        <f t="shared" ca="1" si="2"/>
        <v>8.576594389403553</v>
      </c>
      <c r="E22" s="2">
        <f t="shared" ca="1" si="3"/>
        <v>7.1471619911696288E-2</v>
      </c>
      <c r="F22" s="2">
        <f ca="1">7 + (B22*12)</f>
        <v>15.576594389403553</v>
      </c>
    </row>
    <row r="23" spans="1:7" x14ac:dyDescent="0.25">
      <c r="B23" s="2">
        <f t="shared" ca="1" si="0"/>
        <v>0.62774091915955532</v>
      </c>
      <c r="C23" s="2">
        <f t="shared" ca="1" si="1"/>
        <v>31.387045957977765</v>
      </c>
      <c r="D23" s="2">
        <f t="shared" ca="1" si="2"/>
        <v>7.5328910299146639</v>
      </c>
      <c r="E23" s="2">
        <f t="shared" ca="1" si="3"/>
        <v>6.2774091915955538E-2</v>
      </c>
      <c r="F23" s="2">
        <f ca="1">7 + (B23*12)</f>
        <v>14.532891029914664</v>
      </c>
    </row>
    <row r="24" spans="1:7" x14ac:dyDescent="0.25">
      <c r="B24" s="2">
        <f t="shared" ca="1" si="0"/>
        <v>0.31541775649429959</v>
      </c>
      <c r="C24" s="2">
        <f t="shared" ca="1" si="1"/>
        <v>15.770887824714979</v>
      </c>
      <c r="D24" s="2">
        <f t="shared" ca="1" si="2"/>
        <v>3.7850130779315951</v>
      </c>
      <c r="E24" s="2">
        <f t="shared" ca="1" si="3"/>
        <v>3.1541775649429962E-2</v>
      </c>
      <c r="F24" s="2">
        <f t="shared" ca="1" si="4"/>
        <v>10.785013077931595</v>
      </c>
    </row>
    <row r="25" spans="1:7" x14ac:dyDescent="0.25">
      <c r="B25" s="2">
        <f t="shared" ca="1" si="0"/>
        <v>0.80122915628557434</v>
      </c>
      <c r="C25" s="2">
        <f t="shared" ca="1" si="1"/>
        <v>40.061457814278718</v>
      </c>
      <c r="D25" s="2">
        <f t="shared" ca="1" si="2"/>
        <v>9.6147498754268916</v>
      </c>
      <c r="E25" s="2">
        <f t="shared" ca="1" si="3"/>
        <v>8.0122915628557431E-2</v>
      </c>
      <c r="F25" s="2">
        <f t="shared" ca="1" si="4"/>
        <v>16.614749875426892</v>
      </c>
    </row>
    <row r="26" spans="1:7" x14ac:dyDescent="0.25">
      <c r="B26" s="2">
        <f t="shared" ca="1" si="0"/>
        <v>0.41378664148736055</v>
      </c>
      <c r="C26" s="2">
        <f t="shared" ca="1" si="1"/>
        <v>20.689332074368028</v>
      </c>
      <c r="D26" s="2">
        <f t="shared" ca="1" si="2"/>
        <v>4.9654396978483266</v>
      </c>
      <c r="E26" s="2">
        <f t="shared" ca="1" si="3"/>
        <v>4.1378664148736054E-2</v>
      </c>
      <c r="F26" s="2">
        <f t="shared" ca="1" si="4"/>
        <v>11.965439697848327</v>
      </c>
    </row>
    <row r="27" spans="1:7" x14ac:dyDescent="0.25">
      <c r="B27" s="2">
        <f t="shared" ca="1" si="0"/>
        <v>0.19865735890797265</v>
      </c>
      <c r="C27" s="2">
        <f t="shared" ca="1" si="1"/>
        <v>9.9328679453986322</v>
      </c>
      <c r="D27" s="2">
        <f t="shared" ca="1" si="2"/>
        <v>2.3838883068956718</v>
      </c>
      <c r="E27" s="2">
        <f t="shared" ca="1" si="3"/>
        <v>1.9865735890797265E-2</v>
      </c>
      <c r="F27" s="2">
        <f t="shared" ca="1" si="4"/>
        <v>9.3838883068956722</v>
      </c>
    </row>
    <row r="28" spans="1:7" ht="15.75" x14ac:dyDescent="0.25">
      <c r="A28" s="21"/>
      <c r="B28" s="167" t="s">
        <v>41</v>
      </c>
      <c r="C28" s="168"/>
      <c r="D28" s="168"/>
      <c r="E28" s="168"/>
      <c r="F28" s="169"/>
    </row>
    <row r="29" spans="1:7" ht="15.75" x14ac:dyDescent="0.25">
      <c r="A29" s="22" t="s">
        <v>42</v>
      </c>
      <c r="B29" s="22">
        <v>0</v>
      </c>
      <c r="C29" s="22">
        <v>0</v>
      </c>
      <c r="D29" s="22">
        <v>0</v>
      </c>
      <c r="E29" s="22">
        <v>0</v>
      </c>
      <c r="F29" s="22">
        <v>7</v>
      </c>
    </row>
    <row r="30" spans="1:7" ht="15.75" x14ac:dyDescent="0.25">
      <c r="A30" s="22" t="s">
        <v>43</v>
      </c>
      <c r="B30" s="22">
        <v>1</v>
      </c>
      <c r="C30" s="22">
        <v>50</v>
      </c>
      <c r="D30" s="22">
        <v>12</v>
      </c>
      <c r="E30" s="22" t="s">
        <v>126</v>
      </c>
      <c r="F30" s="22">
        <v>19</v>
      </c>
    </row>
    <row r="31" spans="1:7" ht="15.75" x14ac:dyDescent="0.25">
      <c r="A31" s="21"/>
      <c r="B31" s="21"/>
      <c r="C31" s="21"/>
      <c r="D31" s="21"/>
      <c r="E31" s="21"/>
      <c r="F31" s="21"/>
    </row>
    <row r="32" spans="1:7" ht="15.75" x14ac:dyDescent="0.25">
      <c r="A32" s="171" t="s">
        <v>49</v>
      </c>
      <c r="B32" s="171"/>
      <c r="C32" s="171" t="s">
        <v>50</v>
      </c>
      <c r="D32" s="171"/>
      <c r="F32" s="22" t="s">
        <v>42</v>
      </c>
      <c r="G32" s="22" t="s">
        <v>48</v>
      </c>
    </row>
    <row r="33" spans="1:13" ht="15.75" x14ac:dyDescent="0.25">
      <c r="A33" s="170" t="s">
        <v>44</v>
      </c>
      <c r="B33" s="170"/>
      <c r="C33" s="170" t="s">
        <v>121</v>
      </c>
      <c r="D33" s="170"/>
      <c r="E33" s="1" t="s">
        <v>122</v>
      </c>
      <c r="F33" s="22">
        <v>0</v>
      </c>
      <c r="G33" s="22">
        <v>10</v>
      </c>
      <c r="H33" s="1" t="s">
        <v>123</v>
      </c>
    </row>
    <row r="34" spans="1:13" ht="15.75" x14ac:dyDescent="0.25">
      <c r="A34" s="172" t="s">
        <v>45</v>
      </c>
      <c r="B34" s="173"/>
      <c r="C34" s="172" t="s">
        <v>124</v>
      </c>
      <c r="D34" s="173"/>
      <c r="E34" s="1" t="s">
        <v>122</v>
      </c>
      <c r="F34" s="22">
        <v>0</v>
      </c>
      <c r="G34" s="22">
        <v>14</v>
      </c>
      <c r="H34" s="1" t="s">
        <v>123</v>
      </c>
    </row>
    <row r="35" spans="1:13" ht="15.75" x14ac:dyDescent="0.25">
      <c r="A35" s="172" t="s">
        <v>46</v>
      </c>
      <c r="B35" s="173"/>
      <c r="C35" s="172" t="s">
        <v>125</v>
      </c>
      <c r="D35" s="173"/>
      <c r="E35" s="1" t="s">
        <v>122</v>
      </c>
      <c r="F35" s="22">
        <v>0</v>
      </c>
      <c r="G35" s="22" t="s">
        <v>126</v>
      </c>
      <c r="H35" s="1" t="s">
        <v>123</v>
      </c>
      <c r="J35" s="116" t="s">
        <v>127</v>
      </c>
    </row>
    <row r="36" spans="1:13" ht="15.75" x14ac:dyDescent="0.25">
      <c r="A36" s="23" t="s">
        <v>47</v>
      </c>
      <c r="B36" s="22"/>
      <c r="C36" s="23" t="s">
        <v>128</v>
      </c>
      <c r="D36" s="22"/>
      <c r="E36" s="1" t="s">
        <v>122</v>
      </c>
      <c r="F36" s="22">
        <v>10</v>
      </c>
      <c r="G36" s="22">
        <v>21</v>
      </c>
      <c r="H36" s="115" t="s">
        <v>123</v>
      </c>
    </row>
    <row r="37" spans="1:13" x14ac:dyDescent="0.25">
      <c r="C37" s="13"/>
      <c r="D37" s="13"/>
      <c r="E37" s="13"/>
      <c r="F37" s="13"/>
    </row>
    <row r="38" spans="1:13" x14ac:dyDescent="0.25">
      <c r="C38" s="13"/>
      <c r="D38" s="13"/>
      <c r="E38" s="13"/>
      <c r="F38" s="13"/>
    </row>
    <row r="39" spans="1:13" x14ac:dyDescent="0.25">
      <c r="C39" s="162" t="s">
        <v>5</v>
      </c>
      <c r="D39" s="163"/>
      <c r="E39" s="163"/>
      <c r="F39" s="163"/>
      <c r="G39" s="163"/>
    </row>
    <row r="41" spans="1:13" x14ac:dyDescent="0.25">
      <c r="C41" s="3"/>
      <c r="D41" s="3">
        <v>1</v>
      </c>
      <c r="E41" s="3">
        <v>2</v>
      </c>
      <c r="F41" s="3">
        <v>3</v>
      </c>
      <c r="G41" s="3">
        <v>4</v>
      </c>
      <c r="H41" s="3">
        <v>5</v>
      </c>
      <c r="I41" s="3">
        <v>6</v>
      </c>
      <c r="J41" s="3">
        <v>7</v>
      </c>
      <c r="K41" s="3">
        <v>8</v>
      </c>
      <c r="L41" s="3">
        <v>9</v>
      </c>
      <c r="M41" s="3">
        <v>10</v>
      </c>
    </row>
    <row r="42" spans="1:13" x14ac:dyDescent="0.25">
      <c r="C42" s="3" t="s">
        <v>6</v>
      </c>
      <c r="D42" s="117">
        <f ca="1">RANDBETWEEN(1,1000)</f>
        <v>989</v>
      </c>
      <c r="E42" s="117">
        <f ca="1">RANDBETWEEN(1,1000)</f>
        <v>967</v>
      </c>
      <c r="F42" s="117">
        <f ca="1">RANDBETWEEN(1,1000)</f>
        <v>222</v>
      </c>
      <c r="G42" s="117">
        <f t="shared" ref="G42:M42" ca="1" si="5">RANDBETWEEN(1,1000)</f>
        <v>163</v>
      </c>
      <c r="H42" s="117">
        <f t="shared" ca="1" si="5"/>
        <v>27</v>
      </c>
      <c r="I42" s="117">
        <f ca="1">RANDBETWEEN(1,1000)</f>
        <v>5</v>
      </c>
      <c r="J42" s="117">
        <f t="shared" ca="1" si="5"/>
        <v>644</v>
      </c>
      <c r="K42" s="117">
        <f t="shared" ca="1" si="5"/>
        <v>233</v>
      </c>
      <c r="L42" s="117">
        <f t="shared" ca="1" si="5"/>
        <v>523</v>
      </c>
      <c r="M42" s="117">
        <f t="shared" ca="1" si="5"/>
        <v>80</v>
      </c>
    </row>
    <row r="44" spans="1:13" x14ac:dyDescent="0.25">
      <c r="D44" s="1">
        <v>0</v>
      </c>
      <c r="E44" s="1">
        <f>ROUND(D44,0)</f>
        <v>0</v>
      </c>
      <c r="F44" s="1">
        <f>ROUNDUP(D44,0)</f>
        <v>0</v>
      </c>
      <c r="G44" s="115">
        <f>ROUNDDOWN(E44,0)</f>
        <v>0</v>
      </c>
      <c r="I44" s="115">
        <v>0.25</v>
      </c>
      <c r="J44" s="1">
        <f>ROUND(I44,0)</f>
        <v>0</v>
      </c>
    </row>
    <row r="45" spans="1:13" x14ac:dyDescent="0.25">
      <c r="D45" s="1">
        <v>0.25</v>
      </c>
      <c r="E45" s="115">
        <f t="shared" ref="E45:E63" si="6">ROUND(D45,0)</f>
        <v>0</v>
      </c>
      <c r="F45" s="115">
        <f>ROUNDUP(D45,0)</f>
        <v>1</v>
      </c>
      <c r="G45" s="115">
        <f t="shared" ref="G45:G63" si="7">ROUNDDOWN(E45,0)</f>
        <v>0</v>
      </c>
      <c r="I45" s="115">
        <v>0.5</v>
      </c>
      <c r="J45" s="115">
        <f t="shared" ref="J45:J63" si="8">ROUND(I45,0)</f>
        <v>1</v>
      </c>
    </row>
    <row r="46" spans="1:13" x14ac:dyDescent="0.25">
      <c r="D46" s="115">
        <v>0.5</v>
      </c>
      <c r="E46" s="115">
        <f>ROUND(D46,0)</f>
        <v>1</v>
      </c>
      <c r="F46" s="115">
        <f t="shared" ref="F46:F63" si="9">ROUNDUP(D46,0)</f>
        <v>1</v>
      </c>
      <c r="G46" s="115">
        <f t="shared" si="7"/>
        <v>1</v>
      </c>
      <c r="I46" s="115">
        <v>0.75</v>
      </c>
      <c r="J46" s="115">
        <f t="shared" si="8"/>
        <v>1</v>
      </c>
    </row>
    <row r="47" spans="1:13" x14ac:dyDescent="0.25">
      <c r="D47" s="115">
        <v>0.75</v>
      </c>
      <c r="E47" s="115">
        <f>ROUND(D47,0)</f>
        <v>1</v>
      </c>
      <c r="F47" s="115">
        <f t="shared" si="9"/>
        <v>1</v>
      </c>
      <c r="G47" s="115">
        <f t="shared" si="7"/>
        <v>1</v>
      </c>
      <c r="I47" s="115">
        <v>1</v>
      </c>
      <c r="J47" s="115">
        <f t="shared" si="8"/>
        <v>1</v>
      </c>
    </row>
    <row r="48" spans="1:13" x14ac:dyDescent="0.25">
      <c r="D48" s="115">
        <v>1</v>
      </c>
      <c r="E48" s="115">
        <f t="shared" si="6"/>
        <v>1</v>
      </c>
      <c r="F48" s="115">
        <f t="shared" si="9"/>
        <v>1</v>
      </c>
      <c r="G48" s="115">
        <f t="shared" si="7"/>
        <v>1</v>
      </c>
      <c r="I48" s="115">
        <v>1.25</v>
      </c>
      <c r="J48" s="115">
        <f t="shared" si="8"/>
        <v>1</v>
      </c>
    </row>
    <row r="49" spans="4:10" x14ac:dyDescent="0.25">
      <c r="D49" s="115">
        <v>1.25</v>
      </c>
      <c r="E49" s="115">
        <f t="shared" si="6"/>
        <v>1</v>
      </c>
      <c r="F49" s="115">
        <f t="shared" si="9"/>
        <v>2</v>
      </c>
      <c r="G49" s="115">
        <f t="shared" si="7"/>
        <v>1</v>
      </c>
      <c r="I49" s="115">
        <v>1.5</v>
      </c>
      <c r="J49" s="115">
        <f t="shared" si="8"/>
        <v>2</v>
      </c>
    </row>
    <row r="50" spans="4:10" x14ac:dyDescent="0.25">
      <c r="D50" s="115">
        <v>1.5</v>
      </c>
      <c r="E50" s="115">
        <f t="shared" si="6"/>
        <v>2</v>
      </c>
      <c r="F50" s="115">
        <f t="shared" si="9"/>
        <v>2</v>
      </c>
      <c r="G50" s="115">
        <f t="shared" si="7"/>
        <v>2</v>
      </c>
      <c r="I50" s="115">
        <v>1.75</v>
      </c>
      <c r="J50" s="115">
        <f t="shared" si="8"/>
        <v>2</v>
      </c>
    </row>
    <row r="51" spans="4:10" x14ac:dyDescent="0.25">
      <c r="D51" s="115">
        <v>1.75</v>
      </c>
      <c r="E51" s="115">
        <f t="shared" si="6"/>
        <v>2</v>
      </c>
      <c r="F51" s="115">
        <f t="shared" si="9"/>
        <v>2</v>
      </c>
      <c r="G51" s="115">
        <f t="shared" si="7"/>
        <v>2</v>
      </c>
      <c r="I51" s="115">
        <v>2</v>
      </c>
      <c r="J51" s="115">
        <f t="shared" si="8"/>
        <v>2</v>
      </c>
    </row>
    <row r="52" spans="4:10" x14ac:dyDescent="0.25">
      <c r="D52" s="115">
        <v>2</v>
      </c>
      <c r="E52" s="115">
        <f t="shared" si="6"/>
        <v>2</v>
      </c>
      <c r="F52" s="115">
        <f t="shared" si="9"/>
        <v>2</v>
      </c>
      <c r="G52" s="115">
        <f t="shared" si="7"/>
        <v>2</v>
      </c>
      <c r="I52" s="115">
        <v>2.25</v>
      </c>
      <c r="J52" s="115">
        <f t="shared" si="8"/>
        <v>2</v>
      </c>
    </row>
    <row r="53" spans="4:10" x14ac:dyDescent="0.25">
      <c r="D53" s="115">
        <v>2.25</v>
      </c>
      <c r="E53" s="115">
        <f t="shared" si="6"/>
        <v>2</v>
      </c>
      <c r="F53" s="115">
        <f t="shared" si="9"/>
        <v>3</v>
      </c>
      <c r="G53" s="115">
        <f t="shared" si="7"/>
        <v>2</v>
      </c>
      <c r="I53" s="115">
        <v>2.5</v>
      </c>
      <c r="J53" s="115">
        <f t="shared" si="8"/>
        <v>3</v>
      </c>
    </row>
    <row r="54" spans="4:10" x14ac:dyDescent="0.25">
      <c r="D54" s="115">
        <v>2.5</v>
      </c>
      <c r="E54" s="115">
        <f t="shared" si="6"/>
        <v>3</v>
      </c>
      <c r="F54" s="115">
        <f t="shared" si="9"/>
        <v>3</v>
      </c>
      <c r="G54" s="115">
        <f t="shared" si="7"/>
        <v>3</v>
      </c>
      <c r="I54" s="115">
        <v>2.75</v>
      </c>
      <c r="J54" s="115">
        <f t="shared" si="8"/>
        <v>3</v>
      </c>
    </row>
    <row r="55" spans="4:10" x14ac:dyDescent="0.25">
      <c r="D55" s="115">
        <v>2.75</v>
      </c>
      <c r="E55" s="115">
        <f t="shared" si="6"/>
        <v>3</v>
      </c>
      <c r="F55" s="115">
        <f t="shared" si="9"/>
        <v>3</v>
      </c>
      <c r="G55" s="115">
        <f t="shared" si="7"/>
        <v>3</v>
      </c>
      <c r="I55" s="115">
        <v>3</v>
      </c>
      <c r="J55" s="115">
        <f t="shared" si="8"/>
        <v>3</v>
      </c>
    </row>
    <row r="56" spans="4:10" x14ac:dyDescent="0.25">
      <c r="D56" s="115">
        <v>3</v>
      </c>
      <c r="E56" s="115">
        <f t="shared" si="6"/>
        <v>3</v>
      </c>
      <c r="F56" s="115">
        <f t="shared" si="9"/>
        <v>3</v>
      </c>
      <c r="G56" s="115">
        <f t="shared" si="7"/>
        <v>3</v>
      </c>
      <c r="I56" s="115">
        <v>3.25</v>
      </c>
      <c r="J56" s="115">
        <f t="shared" si="8"/>
        <v>3</v>
      </c>
    </row>
    <row r="57" spans="4:10" x14ac:dyDescent="0.25">
      <c r="D57" s="115">
        <v>3.25</v>
      </c>
      <c r="E57" s="115">
        <f t="shared" si="6"/>
        <v>3</v>
      </c>
      <c r="F57" s="115">
        <f t="shared" si="9"/>
        <v>4</v>
      </c>
      <c r="G57" s="115">
        <f t="shared" si="7"/>
        <v>3</v>
      </c>
      <c r="I57" s="115">
        <v>3.5</v>
      </c>
      <c r="J57" s="115">
        <f t="shared" si="8"/>
        <v>4</v>
      </c>
    </row>
    <row r="58" spans="4:10" x14ac:dyDescent="0.25">
      <c r="D58" s="115">
        <v>3.5</v>
      </c>
      <c r="E58" s="115">
        <f t="shared" si="6"/>
        <v>4</v>
      </c>
      <c r="F58" s="115">
        <f t="shared" si="9"/>
        <v>4</v>
      </c>
      <c r="G58" s="115">
        <f t="shared" si="7"/>
        <v>4</v>
      </c>
      <c r="I58" s="115">
        <v>3.75</v>
      </c>
      <c r="J58" s="115">
        <f t="shared" si="8"/>
        <v>4</v>
      </c>
    </row>
    <row r="59" spans="4:10" x14ac:dyDescent="0.25">
      <c r="D59" s="115">
        <v>3.75</v>
      </c>
      <c r="E59" s="115">
        <f t="shared" si="6"/>
        <v>4</v>
      </c>
      <c r="F59" s="115">
        <f t="shared" si="9"/>
        <v>4</v>
      </c>
      <c r="G59" s="115">
        <f t="shared" si="7"/>
        <v>4</v>
      </c>
      <c r="I59" s="115">
        <v>4</v>
      </c>
      <c r="J59" s="115">
        <f t="shared" si="8"/>
        <v>4</v>
      </c>
    </row>
    <row r="60" spans="4:10" x14ac:dyDescent="0.25">
      <c r="D60" s="115">
        <v>4</v>
      </c>
      <c r="E60" s="115">
        <f t="shared" si="6"/>
        <v>4</v>
      </c>
      <c r="F60" s="115">
        <f t="shared" si="9"/>
        <v>4</v>
      </c>
      <c r="G60" s="115">
        <f t="shared" si="7"/>
        <v>4</v>
      </c>
      <c r="I60" s="115">
        <v>4.25</v>
      </c>
      <c r="J60" s="115">
        <f t="shared" si="8"/>
        <v>4</v>
      </c>
    </row>
    <row r="61" spans="4:10" x14ac:dyDescent="0.25">
      <c r="D61" s="115">
        <v>4.25</v>
      </c>
      <c r="E61" s="115">
        <f t="shared" si="6"/>
        <v>4</v>
      </c>
      <c r="F61" s="115">
        <f t="shared" si="9"/>
        <v>5</v>
      </c>
      <c r="G61" s="115">
        <f t="shared" si="7"/>
        <v>4</v>
      </c>
      <c r="I61" s="115">
        <v>4.5</v>
      </c>
      <c r="J61" s="115">
        <f t="shared" si="8"/>
        <v>5</v>
      </c>
    </row>
    <row r="62" spans="4:10" x14ac:dyDescent="0.25">
      <c r="D62" s="115">
        <v>4.5</v>
      </c>
      <c r="E62" s="115">
        <f t="shared" si="6"/>
        <v>5</v>
      </c>
      <c r="F62" s="115">
        <f t="shared" si="9"/>
        <v>5</v>
      </c>
      <c r="G62" s="115">
        <f t="shared" si="7"/>
        <v>5</v>
      </c>
      <c r="I62" s="115">
        <v>4.75</v>
      </c>
      <c r="J62" s="115">
        <f t="shared" si="8"/>
        <v>5</v>
      </c>
    </row>
    <row r="63" spans="4:10" x14ac:dyDescent="0.25">
      <c r="D63" s="115">
        <v>4.75</v>
      </c>
      <c r="E63" s="115">
        <f t="shared" si="6"/>
        <v>5</v>
      </c>
      <c r="F63" s="115">
        <f t="shared" si="9"/>
        <v>5</v>
      </c>
      <c r="G63" s="115">
        <f t="shared" si="7"/>
        <v>5</v>
      </c>
      <c r="I63" s="115">
        <v>5</v>
      </c>
      <c r="J63" s="115">
        <f t="shared" si="8"/>
        <v>5</v>
      </c>
    </row>
    <row r="64" spans="4:10" x14ac:dyDescent="0.25">
      <c r="D64" s="115"/>
    </row>
    <row r="65" spans="4:7" x14ac:dyDescent="0.25">
      <c r="D65" s="1">
        <v>0</v>
      </c>
      <c r="E65" s="1">
        <f>ROUND(D65,0)</f>
        <v>0</v>
      </c>
      <c r="F65" s="1">
        <f>ROUNDUP(D65,0)</f>
        <v>0</v>
      </c>
      <c r="G65" s="115">
        <f>ROUNDDOWN(E65,0)</f>
        <v>0</v>
      </c>
    </row>
    <row r="66" spans="4:7" x14ac:dyDescent="0.25">
      <c r="D66" s="1">
        <v>0.1</v>
      </c>
      <c r="E66" s="115">
        <f t="shared" ref="E66:E114" si="10">ROUND(D66,0)</f>
        <v>0</v>
      </c>
      <c r="F66" s="115">
        <f t="shared" ref="F66:F114" si="11">ROUNDUP(D66,0)</f>
        <v>1</v>
      </c>
      <c r="G66" s="115">
        <f t="shared" ref="G66:G114" si="12">ROUNDDOWN(E66,0)</f>
        <v>0</v>
      </c>
    </row>
    <row r="67" spans="4:7" x14ac:dyDescent="0.25">
      <c r="D67" s="115">
        <v>0.2</v>
      </c>
      <c r="E67" s="115">
        <f t="shared" si="10"/>
        <v>0</v>
      </c>
      <c r="F67" s="115">
        <f t="shared" si="11"/>
        <v>1</v>
      </c>
      <c r="G67" s="115">
        <f t="shared" si="12"/>
        <v>0</v>
      </c>
    </row>
    <row r="68" spans="4:7" x14ac:dyDescent="0.25">
      <c r="D68" s="115">
        <v>0.3</v>
      </c>
      <c r="E68" s="115">
        <f t="shared" si="10"/>
        <v>0</v>
      </c>
      <c r="F68" s="115">
        <f t="shared" si="11"/>
        <v>1</v>
      </c>
      <c r="G68" s="115">
        <f t="shared" si="12"/>
        <v>0</v>
      </c>
    </row>
    <row r="69" spans="4:7" x14ac:dyDescent="0.25">
      <c r="D69" s="115">
        <v>0.4</v>
      </c>
      <c r="E69" s="115">
        <f>ROUND(D69,0)</f>
        <v>0</v>
      </c>
      <c r="F69" s="115">
        <f t="shared" si="11"/>
        <v>1</v>
      </c>
      <c r="G69" s="115">
        <f t="shared" si="12"/>
        <v>0</v>
      </c>
    </row>
    <row r="70" spans="4:7" x14ac:dyDescent="0.25">
      <c r="D70" s="115">
        <v>0.5</v>
      </c>
      <c r="E70" s="115">
        <f t="shared" si="10"/>
        <v>1</v>
      </c>
      <c r="F70" s="115">
        <f t="shared" si="11"/>
        <v>1</v>
      </c>
      <c r="G70" s="115">
        <f t="shared" si="12"/>
        <v>1</v>
      </c>
    </row>
    <row r="71" spans="4:7" x14ac:dyDescent="0.25">
      <c r="D71" s="115">
        <v>0.6</v>
      </c>
      <c r="E71" s="115">
        <f t="shared" si="10"/>
        <v>1</v>
      </c>
      <c r="F71" s="115">
        <f t="shared" si="11"/>
        <v>1</v>
      </c>
      <c r="G71" s="115">
        <f t="shared" si="12"/>
        <v>1</v>
      </c>
    </row>
    <row r="72" spans="4:7" x14ac:dyDescent="0.25">
      <c r="D72" s="115">
        <v>0.7</v>
      </c>
      <c r="E72" s="115">
        <f t="shared" si="10"/>
        <v>1</v>
      </c>
      <c r="F72" s="115">
        <f t="shared" si="11"/>
        <v>1</v>
      </c>
      <c r="G72" s="115">
        <f t="shared" si="12"/>
        <v>1</v>
      </c>
    </row>
    <row r="73" spans="4:7" x14ac:dyDescent="0.25">
      <c r="D73" s="115">
        <v>0.8</v>
      </c>
      <c r="E73" s="115">
        <f t="shared" si="10"/>
        <v>1</v>
      </c>
      <c r="F73" s="115">
        <f t="shared" si="11"/>
        <v>1</v>
      </c>
      <c r="G73" s="115">
        <f t="shared" si="12"/>
        <v>1</v>
      </c>
    </row>
    <row r="74" spans="4:7" x14ac:dyDescent="0.25">
      <c r="D74" s="115">
        <v>0.9</v>
      </c>
      <c r="E74" s="115">
        <f t="shared" si="10"/>
        <v>1</v>
      </c>
      <c r="F74" s="115">
        <f t="shared" si="11"/>
        <v>1</v>
      </c>
      <c r="G74" s="115">
        <f t="shared" si="12"/>
        <v>1</v>
      </c>
    </row>
    <row r="75" spans="4:7" x14ac:dyDescent="0.25">
      <c r="D75" s="115">
        <v>1</v>
      </c>
      <c r="E75" s="115">
        <f t="shared" si="10"/>
        <v>1</v>
      </c>
      <c r="F75" s="115">
        <f t="shared" si="11"/>
        <v>1</v>
      </c>
      <c r="G75" s="115">
        <f t="shared" si="12"/>
        <v>1</v>
      </c>
    </row>
    <row r="76" spans="4:7" x14ac:dyDescent="0.25">
      <c r="D76" s="115">
        <v>1.1000000000000001</v>
      </c>
      <c r="E76" s="115">
        <f t="shared" si="10"/>
        <v>1</v>
      </c>
      <c r="F76" s="115">
        <f t="shared" si="11"/>
        <v>2</v>
      </c>
      <c r="G76" s="115">
        <f t="shared" si="12"/>
        <v>1</v>
      </c>
    </row>
    <row r="77" spans="4:7" x14ac:dyDescent="0.25">
      <c r="D77" s="115">
        <v>1.2</v>
      </c>
      <c r="E77" s="115">
        <f t="shared" si="10"/>
        <v>1</v>
      </c>
      <c r="F77" s="115">
        <f t="shared" si="11"/>
        <v>2</v>
      </c>
      <c r="G77" s="115">
        <f t="shared" si="12"/>
        <v>1</v>
      </c>
    </row>
    <row r="78" spans="4:7" x14ac:dyDescent="0.25">
      <c r="D78" s="115">
        <v>1.3</v>
      </c>
      <c r="E78" s="115">
        <f t="shared" si="10"/>
        <v>1</v>
      </c>
      <c r="F78" s="115">
        <f t="shared" si="11"/>
        <v>2</v>
      </c>
      <c r="G78" s="115">
        <f t="shared" si="12"/>
        <v>1</v>
      </c>
    </row>
    <row r="79" spans="4:7" x14ac:dyDescent="0.25">
      <c r="D79" s="115">
        <v>1.4</v>
      </c>
      <c r="E79" s="115">
        <f t="shared" si="10"/>
        <v>1</v>
      </c>
      <c r="F79" s="115">
        <f t="shared" si="11"/>
        <v>2</v>
      </c>
      <c r="G79" s="115">
        <f t="shared" si="12"/>
        <v>1</v>
      </c>
    </row>
    <row r="80" spans="4:7" x14ac:dyDescent="0.25">
      <c r="D80" s="115">
        <v>1.5</v>
      </c>
      <c r="E80" s="115">
        <f t="shared" si="10"/>
        <v>2</v>
      </c>
      <c r="F80" s="115">
        <f t="shared" si="11"/>
        <v>2</v>
      </c>
      <c r="G80" s="115">
        <f t="shared" si="12"/>
        <v>2</v>
      </c>
    </row>
    <row r="81" spans="4:7" x14ac:dyDescent="0.25">
      <c r="D81" s="115">
        <v>1.6</v>
      </c>
      <c r="E81" s="115">
        <f t="shared" si="10"/>
        <v>2</v>
      </c>
      <c r="F81" s="115">
        <f t="shared" si="11"/>
        <v>2</v>
      </c>
      <c r="G81" s="115">
        <f t="shared" si="12"/>
        <v>2</v>
      </c>
    </row>
    <row r="82" spans="4:7" x14ac:dyDescent="0.25">
      <c r="D82" s="115">
        <v>1.7</v>
      </c>
      <c r="E82" s="115">
        <f t="shared" si="10"/>
        <v>2</v>
      </c>
      <c r="F82" s="115">
        <f t="shared" si="11"/>
        <v>2</v>
      </c>
      <c r="G82" s="115">
        <f t="shared" si="12"/>
        <v>2</v>
      </c>
    </row>
    <row r="83" spans="4:7" x14ac:dyDescent="0.25">
      <c r="D83" s="115">
        <v>1.8</v>
      </c>
      <c r="E83" s="115">
        <f t="shared" si="10"/>
        <v>2</v>
      </c>
      <c r="F83" s="115">
        <f t="shared" si="11"/>
        <v>2</v>
      </c>
      <c r="G83" s="115">
        <f t="shared" si="12"/>
        <v>2</v>
      </c>
    </row>
    <row r="84" spans="4:7" x14ac:dyDescent="0.25">
      <c r="D84" s="115">
        <v>1.9</v>
      </c>
      <c r="E84" s="115">
        <f t="shared" si="10"/>
        <v>2</v>
      </c>
      <c r="F84" s="115">
        <f t="shared" si="11"/>
        <v>2</v>
      </c>
      <c r="G84" s="115">
        <f t="shared" si="12"/>
        <v>2</v>
      </c>
    </row>
    <row r="85" spans="4:7" x14ac:dyDescent="0.25">
      <c r="D85" s="115">
        <v>2</v>
      </c>
      <c r="E85" s="115">
        <f t="shared" si="10"/>
        <v>2</v>
      </c>
      <c r="F85" s="115">
        <f t="shared" si="11"/>
        <v>2</v>
      </c>
      <c r="G85" s="115">
        <f t="shared" si="12"/>
        <v>2</v>
      </c>
    </row>
    <row r="86" spans="4:7" x14ac:dyDescent="0.25">
      <c r="D86" s="115">
        <v>2.1</v>
      </c>
      <c r="E86" s="115">
        <f t="shared" si="10"/>
        <v>2</v>
      </c>
      <c r="F86" s="115">
        <f t="shared" si="11"/>
        <v>3</v>
      </c>
      <c r="G86" s="115">
        <f t="shared" si="12"/>
        <v>2</v>
      </c>
    </row>
    <row r="87" spans="4:7" x14ac:dyDescent="0.25">
      <c r="D87" s="115">
        <v>2.2000000000000002</v>
      </c>
      <c r="E87" s="115">
        <f t="shared" si="10"/>
        <v>2</v>
      </c>
      <c r="F87" s="115">
        <f t="shared" si="11"/>
        <v>3</v>
      </c>
      <c r="G87" s="115">
        <f t="shared" si="12"/>
        <v>2</v>
      </c>
    </row>
    <row r="88" spans="4:7" x14ac:dyDescent="0.25">
      <c r="D88" s="115">
        <v>2.2999999999999998</v>
      </c>
      <c r="E88" s="115">
        <f t="shared" si="10"/>
        <v>2</v>
      </c>
      <c r="F88" s="115">
        <f t="shared" si="11"/>
        <v>3</v>
      </c>
      <c r="G88" s="115">
        <f t="shared" si="12"/>
        <v>2</v>
      </c>
    </row>
    <row r="89" spans="4:7" x14ac:dyDescent="0.25">
      <c r="D89" s="115">
        <v>2.4</v>
      </c>
      <c r="E89" s="115">
        <f t="shared" si="10"/>
        <v>2</v>
      </c>
      <c r="F89" s="115">
        <f t="shared" si="11"/>
        <v>3</v>
      </c>
      <c r="G89" s="115">
        <f t="shared" si="12"/>
        <v>2</v>
      </c>
    </row>
    <row r="90" spans="4:7" x14ac:dyDescent="0.25">
      <c r="D90" s="115">
        <v>2.5</v>
      </c>
      <c r="E90" s="115">
        <f t="shared" si="10"/>
        <v>3</v>
      </c>
      <c r="F90" s="115">
        <f t="shared" si="11"/>
        <v>3</v>
      </c>
      <c r="G90" s="115">
        <f t="shared" si="12"/>
        <v>3</v>
      </c>
    </row>
    <row r="91" spans="4:7" x14ac:dyDescent="0.25">
      <c r="D91" s="115">
        <v>2.6</v>
      </c>
      <c r="E91" s="115">
        <f t="shared" si="10"/>
        <v>3</v>
      </c>
      <c r="F91" s="115">
        <f t="shared" si="11"/>
        <v>3</v>
      </c>
      <c r="G91" s="115">
        <f t="shared" si="12"/>
        <v>3</v>
      </c>
    </row>
    <row r="92" spans="4:7" x14ac:dyDescent="0.25">
      <c r="D92" s="115">
        <v>2.7</v>
      </c>
      <c r="E92" s="115">
        <f t="shared" si="10"/>
        <v>3</v>
      </c>
      <c r="F92" s="115">
        <f t="shared" si="11"/>
        <v>3</v>
      </c>
      <c r="G92" s="115">
        <f t="shared" si="12"/>
        <v>3</v>
      </c>
    </row>
    <row r="93" spans="4:7" x14ac:dyDescent="0.25">
      <c r="D93" s="115">
        <v>2.8</v>
      </c>
      <c r="E93" s="115">
        <f t="shared" si="10"/>
        <v>3</v>
      </c>
      <c r="F93" s="115">
        <f t="shared" si="11"/>
        <v>3</v>
      </c>
      <c r="G93" s="115">
        <f t="shared" si="12"/>
        <v>3</v>
      </c>
    </row>
    <row r="94" spans="4:7" x14ac:dyDescent="0.25">
      <c r="D94" s="115">
        <v>2.9</v>
      </c>
      <c r="E94" s="115">
        <f t="shared" si="10"/>
        <v>3</v>
      </c>
      <c r="F94" s="115">
        <f t="shared" si="11"/>
        <v>3</v>
      </c>
      <c r="G94" s="115">
        <f t="shared" si="12"/>
        <v>3</v>
      </c>
    </row>
    <row r="95" spans="4:7" x14ac:dyDescent="0.25">
      <c r="D95" s="115">
        <v>3</v>
      </c>
      <c r="E95" s="115">
        <f t="shared" si="10"/>
        <v>3</v>
      </c>
      <c r="F95" s="115">
        <f t="shared" si="11"/>
        <v>3</v>
      </c>
      <c r="G95" s="115">
        <f t="shared" si="12"/>
        <v>3</v>
      </c>
    </row>
    <row r="96" spans="4:7" x14ac:dyDescent="0.25">
      <c r="D96" s="115">
        <v>3.1</v>
      </c>
      <c r="E96" s="115">
        <f t="shared" si="10"/>
        <v>3</v>
      </c>
      <c r="F96" s="115">
        <f t="shared" si="11"/>
        <v>4</v>
      </c>
      <c r="G96" s="115">
        <f t="shared" si="12"/>
        <v>3</v>
      </c>
    </row>
    <row r="97" spans="4:7" x14ac:dyDescent="0.25">
      <c r="D97" s="115">
        <v>3.2</v>
      </c>
      <c r="E97" s="115">
        <f t="shared" si="10"/>
        <v>3</v>
      </c>
      <c r="F97" s="115">
        <f t="shared" si="11"/>
        <v>4</v>
      </c>
      <c r="G97" s="115">
        <f t="shared" si="12"/>
        <v>3</v>
      </c>
    </row>
    <row r="98" spans="4:7" x14ac:dyDescent="0.25">
      <c r="D98" s="115">
        <v>3.3</v>
      </c>
      <c r="E98" s="115">
        <f t="shared" si="10"/>
        <v>3</v>
      </c>
      <c r="F98" s="115">
        <f t="shared" si="11"/>
        <v>4</v>
      </c>
      <c r="G98" s="115">
        <f t="shared" si="12"/>
        <v>3</v>
      </c>
    </row>
    <row r="99" spans="4:7" x14ac:dyDescent="0.25">
      <c r="D99" s="115">
        <v>3.4</v>
      </c>
      <c r="E99" s="115">
        <f t="shared" si="10"/>
        <v>3</v>
      </c>
      <c r="F99" s="115">
        <f t="shared" si="11"/>
        <v>4</v>
      </c>
      <c r="G99" s="115">
        <f t="shared" si="12"/>
        <v>3</v>
      </c>
    </row>
    <row r="100" spans="4:7" x14ac:dyDescent="0.25">
      <c r="D100" s="115">
        <v>3.5</v>
      </c>
      <c r="E100" s="115">
        <f t="shared" si="10"/>
        <v>4</v>
      </c>
      <c r="F100" s="115">
        <f t="shared" si="11"/>
        <v>4</v>
      </c>
      <c r="G100" s="115">
        <f t="shared" si="12"/>
        <v>4</v>
      </c>
    </row>
    <row r="101" spans="4:7" x14ac:dyDescent="0.25">
      <c r="D101" s="115">
        <v>3.6</v>
      </c>
      <c r="E101" s="115">
        <f t="shared" si="10"/>
        <v>4</v>
      </c>
      <c r="F101" s="115">
        <f t="shared" si="11"/>
        <v>4</v>
      </c>
      <c r="G101" s="115">
        <f t="shared" si="12"/>
        <v>4</v>
      </c>
    </row>
    <row r="102" spans="4:7" x14ac:dyDescent="0.25">
      <c r="D102" s="115">
        <v>3.7</v>
      </c>
      <c r="E102" s="115">
        <f t="shared" si="10"/>
        <v>4</v>
      </c>
      <c r="F102" s="115">
        <f t="shared" si="11"/>
        <v>4</v>
      </c>
      <c r="G102" s="115">
        <f t="shared" si="12"/>
        <v>4</v>
      </c>
    </row>
    <row r="103" spans="4:7" x14ac:dyDescent="0.25">
      <c r="D103" s="115">
        <v>3.8</v>
      </c>
      <c r="E103" s="115">
        <f t="shared" si="10"/>
        <v>4</v>
      </c>
      <c r="F103" s="115">
        <f t="shared" si="11"/>
        <v>4</v>
      </c>
      <c r="G103" s="115">
        <f t="shared" si="12"/>
        <v>4</v>
      </c>
    </row>
    <row r="104" spans="4:7" x14ac:dyDescent="0.25">
      <c r="D104" s="115">
        <v>3.9</v>
      </c>
      <c r="E104" s="115">
        <f t="shared" si="10"/>
        <v>4</v>
      </c>
      <c r="F104" s="115">
        <f t="shared" si="11"/>
        <v>4</v>
      </c>
      <c r="G104" s="115">
        <f t="shared" si="12"/>
        <v>4</v>
      </c>
    </row>
    <row r="105" spans="4:7" x14ac:dyDescent="0.25">
      <c r="D105" s="115">
        <v>4</v>
      </c>
      <c r="E105" s="115">
        <f t="shared" si="10"/>
        <v>4</v>
      </c>
      <c r="F105" s="115">
        <f t="shared" si="11"/>
        <v>4</v>
      </c>
      <c r="G105" s="115">
        <f t="shared" si="12"/>
        <v>4</v>
      </c>
    </row>
    <row r="106" spans="4:7" x14ac:dyDescent="0.25">
      <c r="D106" s="115">
        <v>4.0999999999999996</v>
      </c>
      <c r="E106" s="115">
        <f t="shared" si="10"/>
        <v>4</v>
      </c>
      <c r="F106" s="115">
        <f t="shared" si="11"/>
        <v>5</v>
      </c>
      <c r="G106" s="115">
        <f t="shared" si="12"/>
        <v>4</v>
      </c>
    </row>
    <row r="107" spans="4:7" x14ac:dyDescent="0.25">
      <c r="D107" s="115">
        <v>4.2</v>
      </c>
      <c r="E107" s="115">
        <f t="shared" si="10"/>
        <v>4</v>
      </c>
      <c r="F107" s="115">
        <f t="shared" si="11"/>
        <v>5</v>
      </c>
      <c r="G107" s="115">
        <f t="shared" si="12"/>
        <v>4</v>
      </c>
    </row>
    <row r="108" spans="4:7" x14ac:dyDescent="0.25">
      <c r="D108" s="115">
        <v>4.3</v>
      </c>
      <c r="E108" s="115">
        <f t="shared" si="10"/>
        <v>4</v>
      </c>
      <c r="F108" s="115">
        <f t="shared" si="11"/>
        <v>5</v>
      </c>
      <c r="G108" s="115">
        <f t="shared" si="12"/>
        <v>4</v>
      </c>
    </row>
    <row r="109" spans="4:7" x14ac:dyDescent="0.25">
      <c r="D109" s="115">
        <v>4.4000000000000004</v>
      </c>
      <c r="E109" s="115">
        <f t="shared" si="10"/>
        <v>4</v>
      </c>
      <c r="F109" s="115">
        <f t="shared" si="11"/>
        <v>5</v>
      </c>
      <c r="G109" s="115">
        <f t="shared" si="12"/>
        <v>4</v>
      </c>
    </row>
    <row r="110" spans="4:7" x14ac:dyDescent="0.25">
      <c r="D110" s="115">
        <v>4.5</v>
      </c>
      <c r="E110" s="115">
        <f t="shared" si="10"/>
        <v>5</v>
      </c>
      <c r="F110" s="115">
        <f t="shared" si="11"/>
        <v>5</v>
      </c>
      <c r="G110" s="115">
        <f t="shared" si="12"/>
        <v>5</v>
      </c>
    </row>
    <row r="111" spans="4:7" x14ac:dyDescent="0.25">
      <c r="D111" s="115">
        <v>4.5999999999999996</v>
      </c>
      <c r="E111" s="115">
        <f t="shared" si="10"/>
        <v>5</v>
      </c>
      <c r="F111" s="115">
        <f t="shared" si="11"/>
        <v>5</v>
      </c>
      <c r="G111" s="115">
        <f t="shared" si="12"/>
        <v>5</v>
      </c>
    </row>
    <row r="112" spans="4:7" x14ac:dyDescent="0.25">
      <c r="D112" s="115">
        <v>4.7</v>
      </c>
      <c r="E112" s="115">
        <f t="shared" si="10"/>
        <v>5</v>
      </c>
      <c r="F112" s="115">
        <f t="shared" si="11"/>
        <v>5</v>
      </c>
      <c r="G112" s="115">
        <f t="shared" si="12"/>
        <v>5</v>
      </c>
    </row>
    <row r="113" spans="4:7" x14ac:dyDescent="0.25">
      <c r="D113" s="115">
        <v>4.8</v>
      </c>
      <c r="E113" s="115">
        <f t="shared" si="10"/>
        <v>5</v>
      </c>
      <c r="F113" s="115">
        <f t="shared" si="11"/>
        <v>5</v>
      </c>
      <c r="G113" s="115">
        <f t="shared" si="12"/>
        <v>5</v>
      </c>
    </row>
    <row r="114" spans="4:7" x14ac:dyDescent="0.25">
      <c r="D114" s="115">
        <v>4.9000000000000004</v>
      </c>
      <c r="E114" s="115">
        <f t="shared" si="10"/>
        <v>5</v>
      </c>
      <c r="F114" s="115">
        <f t="shared" si="11"/>
        <v>5</v>
      </c>
      <c r="G114" s="115">
        <f t="shared" si="12"/>
        <v>5</v>
      </c>
    </row>
    <row r="115" spans="4:7" x14ac:dyDescent="0.25">
      <c r="D115" s="115"/>
    </row>
  </sheetData>
  <mergeCells count="11">
    <mergeCell ref="C39:G39"/>
    <mergeCell ref="E5:S5"/>
    <mergeCell ref="B28:F28"/>
    <mergeCell ref="A33:B33"/>
    <mergeCell ref="A32:B32"/>
    <mergeCell ref="C33:D33"/>
    <mergeCell ref="C32:D32"/>
    <mergeCell ref="A34:B34"/>
    <mergeCell ref="A35:B35"/>
    <mergeCell ref="C34:D34"/>
    <mergeCell ref="C35:D3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000"/>
  <sheetViews>
    <sheetView tabSelected="1" topLeftCell="A103" zoomScale="120" zoomScaleNormal="120" workbookViewId="0">
      <selection activeCell="E130" sqref="E130"/>
    </sheetView>
  </sheetViews>
  <sheetFormatPr defaultRowHeight="15" x14ac:dyDescent="0.25"/>
  <cols>
    <col min="1" max="1" width="9.140625" style="146"/>
    <col min="2" max="2" width="3.85546875" customWidth="1"/>
    <col min="3" max="3" width="13.42578125" customWidth="1"/>
    <col min="4" max="6" width="10.42578125" bestFit="1" customWidth="1"/>
    <col min="7" max="7" width="11" customWidth="1"/>
    <col min="8" max="8" width="9.85546875" customWidth="1"/>
    <col min="9" max="9" width="11" customWidth="1"/>
    <col min="10" max="10" width="10.85546875" customWidth="1"/>
    <col min="16" max="16" width="12.85546875" customWidth="1"/>
    <col min="17" max="17" width="11.140625" customWidth="1"/>
    <col min="19" max="19" width="14.140625" bestFit="1" customWidth="1"/>
    <col min="20" max="20" width="15.140625" customWidth="1"/>
    <col min="21" max="21" width="14.140625" bestFit="1" customWidth="1"/>
    <col min="22" max="22" width="14.85546875" customWidth="1"/>
    <col min="23" max="23" width="13.140625" customWidth="1"/>
  </cols>
  <sheetData>
    <row r="1" spans="1:29" ht="15.75" x14ac:dyDescent="0.25">
      <c r="A1" s="145">
        <v>1.2</v>
      </c>
      <c r="B1" s="15" t="s">
        <v>136</v>
      </c>
      <c r="C1" s="15"/>
      <c r="D1" s="15"/>
      <c r="F1" s="15"/>
      <c r="G1" s="15"/>
      <c r="H1" s="15"/>
      <c r="J1" s="15" t="s">
        <v>130</v>
      </c>
      <c r="AA1" s="154">
        <v>0.4</v>
      </c>
    </row>
    <row r="2" spans="1:29" ht="15.75" x14ac:dyDescent="0.25">
      <c r="A2" s="145">
        <v>4.2</v>
      </c>
      <c r="B2" s="19" t="s">
        <v>116</v>
      </c>
      <c r="C2" s="14"/>
      <c r="D2" s="24" t="s">
        <v>51</v>
      </c>
      <c r="E2" s="14"/>
      <c r="F2" s="14"/>
      <c r="G2" s="14"/>
      <c r="H2" s="14"/>
      <c r="AA2" s="154">
        <v>1.6</v>
      </c>
    </row>
    <row r="3" spans="1:29" ht="15.75" x14ac:dyDescent="0.25">
      <c r="A3" s="145">
        <v>3.5</v>
      </c>
      <c r="B3" s="20" t="s">
        <v>52</v>
      </c>
      <c r="C3" s="14"/>
      <c r="D3" s="14"/>
      <c r="E3" s="14"/>
      <c r="F3" s="14"/>
      <c r="G3" s="14"/>
      <c r="H3" s="14"/>
      <c r="AA3" s="154">
        <v>2.8</v>
      </c>
    </row>
    <row r="4" spans="1:29" ht="15.75" x14ac:dyDescent="0.25">
      <c r="A4" s="145">
        <v>2.7</v>
      </c>
      <c r="B4" s="20" t="s">
        <v>53</v>
      </c>
      <c r="AA4" s="154">
        <v>1.4</v>
      </c>
    </row>
    <row r="5" spans="1:29" x14ac:dyDescent="0.25">
      <c r="A5" s="145">
        <v>2.5</v>
      </c>
      <c r="AA5" s="154">
        <v>2.4</v>
      </c>
    </row>
    <row r="6" spans="1:29" ht="14.45" customHeight="1" thickBot="1" x14ac:dyDescent="0.3">
      <c r="A6" s="145">
        <v>1.7</v>
      </c>
      <c r="C6" t="s">
        <v>87</v>
      </c>
      <c r="AA6" s="154">
        <v>3.4</v>
      </c>
    </row>
    <row r="7" spans="1:29" ht="15" customHeight="1" x14ac:dyDescent="0.25">
      <c r="A7" s="145">
        <v>2</v>
      </c>
      <c r="C7" s="176" t="s">
        <v>135</v>
      </c>
      <c r="D7" s="177"/>
      <c r="E7" s="177"/>
      <c r="F7" s="177"/>
      <c r="G7" s="177"/>
      <c r="H7" s="178"/>
      <c r="K7" s="19" t="s">
        <v>54</v>
      </c>
      <c r="AA7" s="154">
        <v>2.8</v>
      </c>
    </row>
    <row r="8" spans="1:29" ht="15.6" customHeight="1" thickBot="1" x14ac:dyDescent="0.3">
      <c r="A8" s="145">
        <v>3.4000000000000004</v>
      </c>
      <c r="C8" s="179"/>
      <c r="D8" s="180"/>
      <c r="E8" s="180"/>
      <c r="F8" s="180"/>
      <c r="G8" s="180"/>
      <c r="H8" s="181"/>
      <c r="P8" s="30" t="s">
        <v>55</v>
      </c>
      <c r="Q8" s="29"/>
      <c r="R8" s="25" t="s">
        <v>57</v>
      </c>
      <c r="U8" s="4"/>
      <c r="V8" s="4"/>
      <c r="W8" s="4"/>
      <c r="X8" s="4"/>
      <c r="Y8" s="4"/>
      <c r="AA8" s="154">
        <v>3</v>
      </c>
    </row>
    <row r="9" spans="1:29" ht="15.6" customHeight="1" x14ac:dyDescent="0.25">
      <c r="A9" s="145">
        <v>3.3000000000000003</v>
      </c>
      <c r="C9" s="179"/>
      <c r="D9" s="180"/>
      <c r="E9" s="180"/>
      <c r="F9" s="180"/>
      <c r="G9" s="180"/>
      <c r="H9" s="181"/>
      <c r="K9" s="8" t="s">
        <v>25</v>
      </c>
      <c r="L9" s="33">
        <f>AVERAGE(A1:A1000)</f>
        <v>2.8290000000000028</v>
      </c>
      <c r="P9" s="31" t="s">
        <v>58</v>
      </c>
      <c r="Q9" s="150">
        <f>PERCENTILE(A1:A1000,0)</f>
        <v>0.2</v>
      </c>
      <c r="R9" s="26">
        <v>0</v>
      </c>
      <c r="U9" s="4"/>
      <c r="V9" s="4"/>
      <c r="W9" s="4"/>
      <c r="X9" s="4"/>
      <c r="Y9" s="4"/>
      <c r="AA9" s="154">
        <v>1</v>
      </c>
    </row>
    <row r="10" spans="1:29" ht="15.6" customHeight="1" x14ac:dyDescent="0.25">
      <c r="A10" s="145">
        <v>0.30000000000000004</v>
      </c>
      <c r="C10" s="179"/>
      <c r="D10" s="180"/>
      <c r="E10" s="180"/>
      <c r="F10" s="180"/>
      <c r="G10" s="180"/>
      <c r="H10" s="181"/>
      <c r="K10" s="8" t="s">
        <v>29</v>
      </c>
      <c r="L10" s="34">
        <f>VAR(A1:A1000)</f>
        <v>2.1280470470470259</v>
      </c>
      <c r="M10">
        <f>STDEV(A1:A1000)</f>
        <v>1.4587827278409304</v>
      </c>
      <c r="P10" s="32" t="s">
        <v>60</v>
      </c>
      <c r="Q10" s="150">
        <f>PERCENTILE(A1:A1000,0.1)</f>
        <v>0.89999999999999991</v>
      </c>
      <c r="R10" s="27">
        <v>0.1</v>
      </c>
      <c r="U10" s="4"/>
      <c r="V10" s="4"/>
      <c r="W10" s="4"/>
      <c r="X10" s="4"/>
      <c r="Y10" s="4"/>
      <c r="AA10" s="154">
        <v>4.2</v>
      </c>
    </row>
    <row r="11" spans="1:29" ht="15.6" customHeight="1" x14ac:dyDescent="0.25">
      <c r="A11" s="145">
        <v>0.89999999999999991</v>
      </c>
      <c r="C11" s="179"/>
      <c r="D11" s="180"/>
      <c r="E11" s="180"/>
      <c r="F11" s="180"/>
      <c r="G11" s="180"/>
      <c r="H11" s="181"/>
      <c r="K11" s="8" t="s">
        <v>27</v>
      </c>
      <c r="L11" s="35">
        <f>STDEV(A1:A1000)</f>
        <v>1.4587827278409304</v>
      </c>
      <c r="M11">
        <f>_xlfn.STDEV.S(A1:A1000)</f>
        <v>1.4587827278409304</v>
      </c>
      <c r="N11" s="80"/>
      <c r="P11" s="32" t="s">
        <v>61</v>
      </c>
      <c r="Q11" s="150">
        <f>PERCENTILE(A1:A1000,0.25)</f>
        <v>1.7</v>
      </c>
      <c r="R11" s="27">
        <v>0.25</v>
      </c>
      <c r="U11" s="4"/>
      <c r="V11" s="4"/>
      <c r="W11" s="4"/>
      <c r="X11" s="4"/>
      <c r="Y11" s="4"/>
      <c r="AA11" s="154">
        <v>1.5</v>
      </c>
    </row>
    <row r="12" spans="1:29" ht="16.350000000000001" customHeight="1" thickBot="1" x14ac:dyDescent="0.3">
      <c r="A12" s="145">
        <v>2.5</v>
      </c>
      <c r="B12" s="1"/>
      <c r="C12" s="179"/>
      <c r="D12" s="180"/>
      <c r="E12" s="180"/>
      <c r="F12" s="180"/>
      <c r="G12" s="180"/>
      <c r="H12" s="181"/>
      <c r="K12" s="8" t="s">
        <v>28</v>
      </c>
      <c r="L12" s="36">
        <f>(M11)/L9</f>
        <v>0.51565313815515335</v>
      </c>
      <c r="M12">
        <f>L11/L9</f>
        <v>0.51565313815515335</v>
      </c>
      <c r="P12" s="31" t="s">
        <v>26</v>
      </c>
      <c r="Q12" s="150">
        <f>PERCENTILE(A1:A1000,0.5)</f>
        <v>2.8000000000000003</v>
      </c>
      <c r="R12" s="27">
        <v>0.5</v>
      </c>
      <c r="AA12" s="154">
        <v>2.9</v>
      </c>
    </row>
    <row r="13" spans="1:29" ht="14.45" customHeight="1" x14ac:dyDescent="0.25">
      <c r="A13" s="145">
        <v>2.2000000000000002</v>
      </c>
      <c r="B13" s="9"/>
      <c r="C13" s="179"/>
      <c r="D13" s="180"/>
      <c r="E13" s="180"/>
      <c r="F13" s="180"/>
      <c r="G13" s="180"/>
      <c r="H13" s="181"/>
      <c r="P13" s="32" t="s">
        <v>62</v>
      </c>
      <c r="Q13" s="150">
        <f>PERCENTILE(A1:A1000,0.75)</f>
        <v>3.9000000000000004</v>
      </c>
      <c r="R13" s="27">
        <v>0.75</v>
      </c>
      <c r="T13" s="1"/>
      <c r="U13" s="1"/>
      <c r="V13" s="1"/>
      <c r="W13" s="1"/>
      <c r="X13" s="1"/>
      <c r="Y13" s="1"/>
      <c r="Z13" s="1"/>
      <c r="AA13" s="154">
        <v>4</v>
      </c>
      <c r="AC13" s="1"/>
    </row>
    <row r="14" spans="1:29" ht="15" customHeight="1" x14ac:dyDescent="0.25">
      <c r="A14" s="145">
        <v>2.6</v>
      </c>
      <c r="C14" s="179"/>
      <c r="D14" s="180"/>
      <c r="E14" s="180"/>
      <c r="F14" s="180"/>
      <c r="G14" s="180"/>
      <c r="H14" s="181"/>
      <c r="P14" s="32" t="s">
        <v>63</v>
      </c>
      <c r="Q14" s="150">
        <f>PERCENTILE(A1:A1000,0.9)</f>
        <v>4.8</v>
      </c>
      <c r="R14" s="27">
        <v>0.9</v>
      </c>
      <c r="T14" s="6"/>
      <c r="AA14" s="154">
        <v>2.7</v>
      </c>
    </row>
    <row r="15" spans="1:29" ht="16.5" thickBot="1" x14ac:dyDescent="0.3">
      <c r="A15" s="145">
        <v>0.30000000000000004</v>
      </c>
      <c r="C15" s="182"/>
      <c r="D15" s="183"/>
      <c r="E15" s="183"/>
      <c r="F15" s="183"/>
      <c r="G15" s="183"/>
      <c r="H15" s="184"/>
      <c r="J15" s="19" t="s">
        <v>110</v>
      </c>
      <c r="K15" s="80"/>
      <c r="L15" s="80"/>
      <c r="M15" s="80"/>
      <c r="N15" s="80"/>
      <c r="O15" s="80"/>
      <c r="P15" s="118" t="s">
        <v>59</v>
      </c>
      <c r="Q15" s="150">
        <f>PERCENTILE(A2:A1001,1)</f>
        <v>7</v>
      </c>
      <c r="R15" s="27">
        <v>1</v>
      </c>
      <c r="AA15" s="154">
        <v>2.2999999999999998</v>
      </c>
    </row>
    <row r="16" spans="1:29" s="1" customFormat="1" ht="16.5" thickBot="1" x14ac:dyDescent="0.3">
      <c r="A16" s="145">
        <v>2.5</v>
      </c>
      <c r="B16"/>
      <c r="C16" s="7"/>
      <c r="D16"/>
      <c r="E16"/>
      <c r="F16"/>
      <c r="G16"/>
      <c r="H16"/>
      <c r="I16"/>
      <c r="J16" s="87"/>
      <c r="K16" s="87"/>
      <c r="L16" s="87"/>
      <c r="M16" s="87"/>
      <c r="N16" s="87"/>
      <c r="O16" s="87"/>
      <c r="P16" s="87"/>
      <c r="Q16" s="87"/>
      <c r="R16" s="87"/>
      <c r="S16"/>
      <c r="T16"/>
      <c r="U16"/>
      <c r="V16"/>
      <c r="W16"/>
      <c r="X16"/>
      <c r="Y16"/>
      <c r="Z16"/>
      <c r="AA16" s="154">
        <v>1.3</v>
      </c>
      <c r="AB16"/>
      <c r="AC16"/>
    </row>
    <row r="17" spans="1:27" ht="15.75" x14ac:dyDescent="0.25">
      <c r="A17" s="145">
        <v>3.9000000000000004</v>
      </c>
      <c r="C17" s="7"/>
      <c r="D17" s="1"/>
      <c r="E17" s="1"/>
      <c r="I17" s="1"/>
      <c r="J17" s="80"/>
      <c r="K17" s="8" t="s">
        <v>25</v>
      </c>
      <c r="L17" s="107">
        <v>2.8278571428571402</v>
      </c>
      <c r="M17" s="12"/>
      <c r="N17" s="108"/>
      <c r="O17" s="108"/>
      <c r="P17" s="30" t="s">
        <v>55</v>
      </c>
      <c r="Q17" s="29"/>
      <c r="R17" s="25" t="s">
        <v>57</v>
      </c>
      <c r="S17" s="1"/>
      <c r="AA17" s="154">
        <v>2</v>
      </c>
    </row>
    <row r="18" spans="1:27" ht="15.75" x14ac:dyDescent="0.25">
      <c r="A18" s="145">
        <v>1.9</v>
      </c>
      <c r="C18" s="37" t="s">
        <v>65</v>
      </c>
      <c r="G18" t="s">
        <v>64</v>
      </c>
      <c r="H18" s="112" t="s">
        <v>132</v>
      </c>
      <c r="J18" s="80"/>
      <c r="K18" s="8" t="s">
        <v>29</v>
      </c>
      <c r="L18" s="110">
        <v>1.7992903391572499</v>
      </c>
      <c r="M18" s="80"/>
      <c r="N18" s="80"/>
      <c r="O18" s="80"/>
      <c r="P18" s="31" t="s">
        <v>58</v>
      </c>
      <c r="Q18" s="109">
        <f>PERCENTILE(AA1:AA140,0)</f>
        <v>0.4</v>
      </c>
      <c r="R18" s="26">
        <v>0</v>
      </c>
      <c r="AA18" s="154">
        <v>2.2999999999999998</v>
      </c>
    </row>
    <row r="19" spans="1:27" ht="15.75" x14ac:dyDescent="0.25">
      <c r="A19" s="145">
        <v>3.3000000000000003</v>
      </c>
      <c r="C19" s="37" t="s">
        <v>133</v>
      </c>
      <c r="H19" s="66" t="s">
        <v>134</v>
      </c>
      <c r="J19" s="80"/>
      <c r="K19" s="8" t="s">
        <v>27</v>
      </c>
      <c r="L19" s="110">
        <v>1.34137628544613</v>
      </c>
      <c r="M19" s="80"/>
      <c r="N19" s="80"/>
      <c r="O19" s="80"/>
      <c r="P19" s="32" t="s">
        <v>60</v>
      </c>
      <c r="Q19" s="111">
        <f>PERCENTILE(AA1:AA140,0.1)</f>
        <v>1</v>
      </c>
      <c r="R19" s="27">
        <v>0.1</v>
      </c>
      <c r="AA19" s="154">
        <v>2.5</v>
      </c>
    </row>
    <row r="20" spans="1:27" ht="16.5" thickBot="1" x14ac:dyDescent="0.3">
      <c r="A20" s="145">
        <v>2.2000000000000002</v>
      </c>
      <c r="J20" s="80"/>
      <c r="K20" s="8" t="s">
        <v>28</v>
      </c>
      <c r="L20" s="153">
        <v>47.434372306758704</v>
      </c>
      <c r="M20" s="80"/>
      <c r="N20" s="80"/>
      <c r="O20" s="80"/>
      <c r="P20" s="32" t="s">
        <v>61</v>
      </c>
      <c r="Q20" s="111">
        <f>PERCENTILE(AA1:AA140,0.25)</f>
        <v>1.7</v>
      </c>
      <c r="R20" s="27">
        <v>0.25</v>
      </c>
      <c r="AA20" s="154">
        <v>4</v>
      </c>
    </row>
    <row r="21" spans="1:27" ht="15.75" x14ac:dyDescent="0.25">
      <c r="A21" s="145">
        <v>1.1000000000000001</v>
      </c>
      <c r="J21" s="80"/>
      <c r="K21" s="80"/>
      <c r="L21" s="80"/>
      <c r="M21" s="80"/>
      <c r="N21" s="80"/>
      <c r="O21" s="80"/>
      <c r="P21" s="31" t="s">
        <v>26</v>
      </c>
      <c r="Q21" s="109">
        <f>PERCENTILE(AA1:AA140,0.5)</f>
        <v>2.8</v>
      </c>
      <c r="R21" s="27">
        <v>0.5</v>
      </c>
      <c r="AA21" s="154">
        <v>4</v>
      </c>
    </row>
    <row r="22" spans="1:27" ht="15.75" x14ac:dyDescent="0.25">
      <c r="A22" s="145">
        <v>3.3000000000000003</v>
      </c>
      <c r="J22" s="80"/>
      <c r="K22" s="80"/>
      <c r="L22" s="80"/>
      <c r="M22" s="80"/>
      <c r="N22" s="80"/>
      <c r="O22" s="80"/>
      <c r="P22" s="32" t="s">
        <v>62</v>
      </c>
      <c r="Q22" s="111">
        <f>PERCENTILE(AA1:AA140,0.75)</f>
        <v>3.9</v>
      </c>
      <c r="R22" s="27">
        <v>0.75</v>
      </c>
      <c r="AA22" s="154">
        <v>2.1</v>
      </c>
    </row>
    <row r="23" spans="1:27" ht="15.75" x14ac:dyDescent="0.25">
      <c r="A23" s="145">
        <v>1.9</v>
      </c>
      <c r="J23" s="14"/>
      <c r="K23" s="14"/>
      <c r="L23" s="14"/>
      <c r="M23" s="14"/>
      <c r="N23" s="14"/>
      <c r="O23" s="14"/>
      <c r="P23" s="32" t="s">
        <v>63</v>
      </c>
      <c r="Q23" s="109">
        <f>PERCENTILE(AA1:AA140,0.9)</f>
        <v>4.5</v>
      </c>
      <c r="R23" s="27">
        <v>0.9</v>
      </c>
      <c r="AA23" s="154">
        <v>2.5</v>
      </c>
    </row>
    <row r="24" spans="1:27" ht="15.75" x14ac:dyDescent="0.25">
      <c r="A24" s="145">
        <v>0.89999999999999991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32" t="s">
        <v>59</v>
      </c>
      <c r="Q24" s="109">
        <f>PERCENTILE(AA1:AA140,1)</f>
        <v>6.3</v>
      </c>
      <c r="R24" s="28">
        <v>1</v>
      </c>
      <c r="S24" s="14"/>
      <c r="T24" s="14"/>
      <c r="U24" s="14"/>
      <c r="V24" s="14"/>
      <c r="AA24" s="154">
        <v>2</v>
      </c>
    </row>
    <row r="25" spans="1:27" ht="15.75" x14ac:dyDescent="0.25">
      <c r="A25" s="145">
        <v>3.7</v>
      </c>
      <c r="C25" s="24" t="s">
        <v>7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AA25" s="154">
        <v>4.5</v>
      </c>
    </row>
    <row r="26" spans="1:27" ht="15.75" x14ac:dyDescent="0.25">
      <c r="A26" s="145">
        <v>4.2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AA26" s="154">
        <v>3.2</v>
      </c>
    </row>
    <row r="27" spans="1:27" ht="15.75" x14ac:dyDescent="0.25">
      <c r="A27" s="145">
        <v>3.2</v>
      </c>
      <c r="C27" s="38"/>
      <c r="D27" s="38">
        <v>1</v>
      </c>
      <c r="E27" s="38">
        <v>2</v>
      </c>
      <c r="F27" s="38">
        <v>3</v>
      </c>
      <c r="G27" s="38">
        <v>4</v>
      </c>
      <c r="H27" s="38">
        <v>5</v>
      </c>
      <c r="I27" s="38">
        <v>6</v>
      </c>
      <c r="J27" s="38">
        <v>7</v>
      </c>
      <c r="K27" s="38">
        <v>8</v>
      </c>
      <c r="L27" s="38">
        <v>9</v>
      </c>
      <c r="M27" s="38">
        <v>10</v>
      </c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AA27" s="154">
        <v>1.9</v>
      </c>
    </row>
    <row r="28" spans="1:27" ht="15.75" x14ac:dyDescent="0.25">
      <c r="A28" s="145">
        <v>4.5</v>
      </c>
      <c r="C28" s="38" t="s">
        <v>8</v>
      </c>
      <c r="D28" s="120">
        <v>834</v>
      </c>
      <c r="E28" s="120">
        <v>306</v>
      </c>
      <c r="F28" s="120">
        <v>476</v>
      </c>
      <c r="G28" s="120">
        <v>294</v>
      </c>
      <c r="H28" s="120">
        <v>92</v>
      </c>
      <c r="I28" s="120">
        <v>266</v>
      </c>
      <c r="J28" s="120">
        <v>904</v>
      </c>
      <c r="K28" s="120">
        <v>888</v>
      </c>
      <c r="L28" s="120">
        <v>421</v>
      </c>
      <c r="M28" s="120">
        <v>919</v>
      </c>
      <c r="N28" s="80"/>
      <c r="O28" s="120">
        <f t="shared" ref="O28:R28" ca="1" si="0">RANDBETWEEN(1,1000)</f>
        <v>509</v>
      </c>
      <c r="P28" s="120">
        <f t="shared" ca="1" si="0"/>
        <v>875</v>
      </c>
      <c r="Q28" s="120">
        <f t="shared" ca="1" si="0"/>
        <v>230</v>
      </c>
      <c r="R28" s="120">
        <f t="shared" ca="1" si="0"/>
        <v>862</v>
      </c>
      <c r="S28" s="120">
        <f ca="1">RANDBETWEEN(1,1000)</f>
        <v>30</v>
      </c>
      <c r="T28" s="120">
        <f ca="1">RANDBETWEEN(1,1000)</f>
        <v>583</v>
      </c>
      <c r="U28" s="120">
        <f t="shared" ref="O28:X34" ca="1" si="1">RANDBETWEEN(1,1000)</f>
        <v>51</v>
      </c>
      <c r="V28" s="120">
        <f t="shared" ca="1" si="1"/>
        <v>777</v>
      </c>
      <c r="W28" s="120">
        <f t="shared" ca="1" si="1"/>
        <v>838</v>
      </c>
      <c r="X28" s="120">
        <f t="shared" ca="1" si="1"/>
        <v>52</v>
      </c>
      <c r="Y28" s="80"/>
      <c r="AA28" s="154">
        <v>3.5</v>
      </c>
    </row>
    <row r="29" spans="1:27" ht="15.75" x14ac:dyDescent="0.25">
      <c r="A29" s="145">
        <v>4.4000000000000004</v>
      </c>
      <c r="C29" s="38" t="s">
        <v>9</v>
      </c>
      <c r="D29" s="120">
        <v>773</v>
      </c>
      <c r="E29" s="120">
        <v>171</v>
      </c>
      <c r="F29" s="120">
        <v>264</v>
      </c>
      <c r="G29" s="120">
        <v>247</v>
      </c>
      <c r="H29" s="120">
        <v>708</v>
      </c>
      <c r="I29" s="120">
        <v>97</v>
      </c>
      <c r="J29" s="120">
        <v>823</v>
      </c>
      <c r="K29" s="120">
        <v>631</v>
      </c>
      <c r="L29" s="120">
        <v>223</v>
      </c>
      <c r="M29" s="120">
        <v>909</v>
      </c>
      <c r="N29" s="80"/>
      <c r="O29" s="120">
        <f t="shared" ca="1" si="1"/>
        <v>294</v>
      </c>
      <c r="P29" s="120">
        <f t="shared" ca="1" si="1"/>
        <v>195</v>
      </c>
      <c r="Q29" s="120">
        <f t="shared" ca="1" si="1"/>
        <v>902</v>
      </c>
      <c r="R29" s="120">
        <f ca="1">RANDBETWEEN(1,1000)</f>
        <v>716</v>
      </c>
      <c r="S29" s="120">
        <f t="shared" ca="1" si="1"/>
        <v>603</v>
      </c>
      <c r="T29" s="120">
        <f ca="1">RANDBETWEEN(1,1000)</f>
        <v>736</v>
      </c>
      <c r="U29" s="120">
        <f t="shared" ca="1" si="1"/>
        <v>154</v>
      </c>
      <c r="V29" s="120">
        <f t="shared" ca="1" si="1"/>
        <v>583</v>
      </c>
      <c r="W29" s="120">
        <f t="shared" ca="1" si="1"/>
        <v>328</v>
      </c>
      <c r="X29" s="120">
        <f t="shared" ca="1" si="1"/>
        <v>470</v>
      </c>
      <c r="Y29" s="80"/>
      <c r="AA29" s="154">
        <v>2.7</v>
      </c>
    </row>
    <row r="30" spans="1:27" ht="15.75" x14ac:dyDescent="0.25">
      <c r="A30" s="145">
        <v>0.89999999999999991</v>
      </c>
      <c r="C30" s="38" t="s">
        <v>10</v>
      </c>
      <c r="D30" s="120">
        <v>9</v>
      </c>
      <c r="E30" s="120">
        <v>537</v>
      </c>
      <c r="F30" s="120">
        <v>704</v>
      </c>
      <c r="G30" s="120">
        <v>475</v>
      </c>
      <c r="H30" s="120">
        <v>557</v>
      </c>
      <c r="I30" s="120">
        <v>909</v>
      </c>
      <c r="J30" s="120">
        <v>972</v>
      </c>
      <c r="K30" s="120">
        <v>988</v>
      </c>
      <c r="L30" s="120">
        <v>869</v>
      </c>
      <c r="M30" s="120">
        <v>143</v>
      </c>
      <c r="N30" s="80"/>
      <c r="O30" s="120">
        <f t="shared" ca="1" si="1"/>
        <v>455</v>
      </c>
      <c r="P30" s="120">
        <f t="shared" ca="1" si="1"/>
        <v>836</v>
      </c>
      <c r="Q30" s="120">
        <f t="shared" ca="1" si="1"/>
        <v>988</v>
      </c>
      <c r="R30" s="120">
        <f t="shared" ca="1" si="1"/>
        <v>125</v>
      </c>
      <c r="S30" s="120">
        <f t="shared" ca="1" si="1"/>
        <v>759</v>
      </c>
      <c r="T30" s="120">
        <f t="shared" ca="1" si="1"/>
        <v>860</v>
      </c>
      <c r="U30" s="120">
        <f t="shared" ca="1" si="1"/>
        <v>511</v>
      </c>
      <c r="V30" s="120">
        <f t="shared" ca="1" si="1"/>
        <v>947</v>
      </c>
      <c r="W30" s="120">
        <f t="shared" ca="1" si="1"/>
        <v>534</v>
      </c>
      <c r="X30" s="120">
        <f ca="1">RANDBETWEEN(1,1000)</f>
        <v>630</v>
      </c>
      <c r="Y30" s="80"/>
      <c r="AA30" s="154">
        <v>4.3</v>
      </c>
    </row>
    <row r="31" spans="1:27" ht="15.75" x14ac:dyDescent="0.25">
      <c r="A31" s="145">
        <v>3</v>
      </c>
      <c r="C31" s="38" t="s">
        <v>11</v>
      </c>
      <c r="D31" s="120">
        <v>534</v>
      </c>
      <c r="E31" s="120">
        <v>530</v>
      </c>
      <c r="F31" s="120">
        <v>722</v>
      </c>
      <c r="G31" s="120">
        <v>370</v>
      </c>
      <c r="H31" s="120">
        <v>818</v>
      </c>
      <c r="I31" s="120">
        <v>850</v>
      </c>
      <c r="J31" s="120">
        <v>373</v>
      </c>
      <c r="K31" s="120">
        <v>221</v>
      </c>
      <c r="L31" s="120">
        <v>120</v>
      </c>
      <c r="M31" s="120">
        <v>643</v>
      </c>
      <c r="N31" s="80"/>
      <c r="O31" s="120">
        <f t="shared" ca="1" si="1"/>
        <v>367</v>
      </c>
      <c r="P31" s="120">
        <f t="shared" ca="1" si="1"/>
        <v>238</v>
      </c>
      <c r="Q31" s="120">
        <f t="shared" ca="1" si="1"/>
        <v>294</v>
      </c>
      <c r="R31" s="120">
        <f t="shared" ca="1" si="1"/>
        <v>130</v>
      </c>
      <c r="S31" s="120">
        <f t="shared" ca="1" si="1"/>
        <v>301</v>
      </c>
      <c r="T31" s="120">
        <f t="shared" ca="1" si="1"/>
        <v>494</v>
      </c>
      <c r="U31" s="120">
        <f t="shared" ca="1" si="1"/>
        <v>24</v>
      </c>
      <c r="V31" s="120">
        <f t="shared" ca="1" si="1"/>
        <v>740</v>
      </c>
      <c r="W31" s="120">
        <f t="shared" ca="1" si="1"/>
        <v>982</v>
      </c>
      <c r="X31" s="120">
        <f t="shared" ca="1" si="1"/>
        <v>237</v>
      </c>
      <c r="Y31" s="80"/>
      <c r="AA31" s="154">
        <v>0.4</v>
      </c>
    </row>
    <row r="32" spans="1:27" ht="15.75" x14ac:dyDescent="0.25">
      <c r="A32" s="145">
        <v>2.8000000000000003</v>
      </c>
      <c r="C32" s="38" t="s">
        <v>31</v>
      </c>
      <c r="D32" s="120">
        <v>61</v>
      </c>
      <c r="E32" s="120">
        <v>839</v>
      </c>
      <c r="F32" s="120">
        <v>16</v>
      </c>
      <c r="G32" s="120">
        <v>883</v>
      </c>
      <c r="H32" s="120">
        <v>732</v>
      </c>
      <c r="I32" s="120">
        <v>245</v>
      </c>
      <c r="J32" s="120">
        <v>322</v>
      </c>
      <c r="K32" s="120">
        <v>179</v>
      </c>
      <c r="L32" s="120">
        <v>159</v>
      </c>
      <c r="M32" s="120">
        <v>439</v>
      </c>
      <c r="N32" s="80"/>
      <c r="O32" s="120">
        <f t="shared" ca="1" si="1"/>
        <v>596</v>
      </c>
      <c r="P32" s="120">
        <f t="shared" ca="1" si="1"/>
        <v>539</v>
      </c>
      <c r="Q32" s="120">
        <f t="shared" ca="1" si="1"/>
        <v>559</v>
      </c>
      <c r="R32" s="120">
        <f t="shared" ca="1" si="1"/>
        <v>244</v>
      </c>
      <c r="S32" s="120">
        <f t="shared" ca="1" si="1"/>
        <v>695</v>
      </c>
      <c r="T32" s="120">
        <f t="shared" ca="1" si="1"/>
        <v>813</v>
      </c>
      <c r="U32" s="120">
        <f t="shared" ca="1" si="1"/>
        <v>687</v>
      </c>
      <c r="V32" s="120">
        <f t="shared" ca="1" si="1"/>
        <v>730</v>
      </c>
      <c r="W32" s="120">
        <f t="shared" ca="1" si="1"/>
        <v>300</v>
      </c>
      <c r="X32" s="120">
        <f t="shared" ca="1" si="1"/>
        <v>759</v>
      </c>
      <c r="Y32" s="80"/>
      <c r="AA32" s="154">
        <v>6.1</v>
      </c>
    </row>
    <row r="33" spans="1:65" ht="15.75" x14ac:dyDescent="0.25">
      <c r="A33" s="145">
        <v>3.4000000000000004</v>
      </c>
      <c r="C33" s="38" t="s">
        <v>32</v>
      </c>
      <c r="D33" s="120">
        <v>867</v>
      </c>
      <c r="E33" s="120">
        <v>825</v>
      </c>
      <c r="F33" s="120">
        <v>844</v>
      </c>
      <c r="G33" s="120">
        <v>866</v>
      </c>
      <c r="H33" s="120">
        <v>84</v>
      </c>
      <c r="I33" s="120">
        <v>851</v>
      </c>
      <c r="J33" s="120">
        <v>337</v>
      </c>
      <c r="K33" s="120">
        <v>39</v>
      </c>
      <c r="L33" s="120">
        <v>747</v>
      </c>
      <c r="M33" s="120">
        <v>675</v>
      </c>
      <c r="N33" s="80"/>
      <c r="O33" s="120">
        <f t="shared" ca="1" si="1"/>
        <v>43</v>
      </c>
      <c r="P33" s="120">
        <f t="shared" ca="1" si="1"/>
        <v>43</v>
      </c>
      <c r="Q33" s="120">
        <f t="shared" ca="1" si="1"/>
        <v>184</v>
      </c>
      <c r="R33" s="120">
        <f t="shared" ca="1" si="1"/>
        <v>218</v>
      </c>
      <c r="S33" s="120">
        <f t="shared" ca="1" si="1"/>
        <v>487</v>
      </c>
      <c r="T33" s="120">
        <f t="shared" ca="1" si="1"/>
        <v>895</v>
      </c>
      <c r="U33" s="120">
        <f t="shared" ca="1" si="1"/>
        <v>48</v>
      </c>
      <c r="V33" s="120">
        <f t="shared" ca="1" si="1"/>
        <v>125</v>
      </c>
      <c r="W33" s="120">
        <f t="shared" ca="1" si="1"/>
        <v>979</v>
      </c>
      <c r="X33" s="120">
        <f t="shared" ca="1" si="1"/>
        <v>724</v>
      </c>
      <c r="Y33" s="80"/>
      <c r="AA33" s="154">
        <v>3.3</v>
      </c>
    </row>
    <row r="34" spans="1:65" ht="15.75" x14ac:dyDescent="0.25">
      <c r="A34" s="145">
        <v>3.5</v>
      </c>
      <c r="C34" s="38" t="s">
        <v>33</v>
      </c>
      <c r="D34" s="120">
        <v>459</v>
      </c>
      <c r="E34" s="120">
        <v>289</v>
      </c>
      <c r="F34" s="120">
        <v>339</v>
      </c>
      <c r="G34" s="120">
        <v>98</v>
      </c>
      <c r="H34" s="120">
        <v>191</v>
      </c>
      <c r="I34" s="120">
        <v>30</v>
      </c>
      <c r="J34" s="120">
        <v>347</v>
      </c>
      <c r="K34" s="120">
        <v>80</v>
      </c>
      <c r="L34" s="120">
        <v>656</v>
      </c>
      <c r="M34" s="120">
        <v>501</v>
      </c>
      <c r="N34" s="80"/>
      <c r="O34" s="120">
        <f t="shared" ca="1" si="1"/>
        <v>11</v>
      </c>
      <c r="P34" s="120">
        <f t="shared" ca="1" si="1"/>
        <v>652</v>
      </c>
      <c r="Q34" s="120">
        <f t="shared" ca="1" si="1"/>
        <v>98</v>
      </c>
      <c r="R34" s="120">
        <f t="shared" ca="1" si="1"/>
        <v>789</v>
      </c>
      <c r="S34" s="120">
        <f t="shared" ca="1" si="1"/>
        <v>366</v>
      </c>
      <c r="T34" s="120">
        <f t="shared" ca="1" si="1"/>
        <v>298</v>
      </c>
      <c r="U34" s="120">
        <f t="shared" ca="1" si="1"/>
        <v>870</v>
      </c>
      <c r="V34" s="120">
        <f t="shared" ca="1" si="1"/>
        <v>665</v>
      </c>
      <c r="W34" s="120">
        <f t="shared" ca="1" si="1"/>
        <v>410</v>
      </c>
      <c r="X34" s="120">
        <f t="shared" ca="1" si="1"/>
        <v>596</v>
      </c>
      <c r="Y34" s="80"/>
      <c r="AA34" s="154">
        <v>3.2</v>
      </c>
    </row>
    <row r="35" spans="1:65" ht="15.75" x14ac:dyDescent="0.25">
      <c r="A35" s="145">
        <v>2.3000000000000003</v>
      </c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AA35" s="154">
        <v>2.2999999999999998</v>
      </c>
    </row>
    <row r="36" spans="1:65" ht="15.75" x14ac:dyDescent="0.25">
      <c r="A36" s="145">
        <v>2.2000000000000002</v>
      </c>
      <c r="C36" s="41" t="s">
        <v>12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AA36" s="154">
        <v>3.6</v>
      </c>
    </row>
    <row r="37" spans="1:65" ht="15.75" x14ac:dyDescent="0.25">
      <c r="A37" s="145">
        <v>1</v>
      </c>
      <c r="B37" s="5"/>
      <c r="C37" s="42"/>
      <c r="D37" s="38">
        <v>1</v>
      </c>
      <c r="E37" s="38">
        <v>2</v>
      </c>
      <c r="F37" s="38">
        <v>3</v>
      </c>
      <c r="G37" s="38">
        <v>4</v>
      </c>
      <c r="H37" s="38">
        <v>5</v>
      </c>
      <c r="I37" s="38">
        <v>6</v>
      </c>
      <c r="J37" s="38">
        <v>7</v>
      </c>
      <c r="K37" s="38">
        <v>8</v>
      </c>
      <c r="L37" s="38">
        <v>9</v>
      </c>
      <c r="M37" s="38">
        <v>10</v>
      </c>
      <c r="N37" s="38" t="s">
        <v>17</v>
      </c>
      <c r="O37" s="38" t="s">
        <v>18</v>
      </c>
      <c r="P37" s="38" t="s">
        <v>38</v>
      </c>
      <c r="Q37" s="38" t="s">
        <v>20</v>
      </c>
      <c r="R37" s="38" t="s">
        <v>21</v>
      </c>
      <c r="S37" s="43" t="s">
        <v>58</v>
      </c>
      <c r="T37" s="43" t="s">
        <v>66</v>
      </c>
      <c r="U37" s="43" t="s">
        <v>26</v>
      </c>
      <c r="V37" s="43" t="s">
        <v>67</v>
      </c>
      <c r="W37" s="43" t="s">
        <v>59</v>
      </c>
      <c r="AA37" s="154">
        <v>2.5</v>
      </c>
    </row>
    <row r="38" spans="1:65" ht="15.75" x14ac:dyDescent="0.25">
      <c r="A38" s="145">
        <v>1.7</v>
      </c>
      <c r="B38" s="9"/>
      <c r="C38" s="14"/>
      <c r="D38" s="44"/>
      <c r="E38" s="14"/>
      <c r="F38" s="44"/>
      <c r="G38" s="44"/>
      <c r="H38" s="44"/>
      <c r="I38" s="44"/>
      <c r="J38" s="44"/>
      <c r="K38" s="44"/>
      <c r="L38" s="44"/>
      <c r="M38" s="45"/>
      <c r="N38" s="46"/>
      <c r="O38" s="46"/>
      <c r="P38" s="46"/>
      <c r="Q38" s="46"/>
      <c r="R38" s="47"/>
      <c r="S38" s="47"/>
      <c r="T38" s="47"/>
      <c r="U38" s="48"/>
      <c r="V38" s="48"/>
      <c r="W38" s="48"/>
      <c r="AA38" s="154">
        <v>4.8</v>
      </c>
    </row>
    <row r="39" spans="1:65" ht="15.75" x14ac:dyDescent="0.25">
      <c r="A39" s="145">
        <v>3.1</v>
      </c>
      <c r="C39" s="38" t="s">
        <v>13</v>
      </c>
      <c r="D39" s="147" cm="1">
        <f t="array" ref="D39">INDEX(A1:A1000,D28)</f>
        <v>2.9000000000000004</v>
      </c>
      <c r="E39" s="147" cm="1">
        <f t="array" ref="E39">INDEX(A1:A1000,E28)</f>
        <v>0.4</v>
      </c>
      <c r="F39" s="147" cm="1">
        <f t="array" ref="F39">INDEX(A1:A1000,F28)</f>
        <v>5.6000000000000005</v>
      </c>
      <c r="G39" s="147" cm="1">
        <f t="array" ref="G39">INDEX(A1:A1000,G28)</f>
        <v>3.2</v>
      </c>
      <c r="H39" s="147" cm="1">
        <f t="array" ref="H39">INDEX(A1:A1000,H28)</f>
        <v>1.4</v>
      </c>
      <c r="I39" s="147" cm="1">
        <f t="array" ref="I39">INDEX(A1:A1000,I28)</f>
        <v>3.5</v>
      </c>
      <c r="J39" s="147" cm="1">
        <f t="array" ref="J39">INDEX(A1:A1000,J28)</f>
        <v>0.7</v>
      </c>
      <c r="K39" s="147" cm="1">
        <f t="array" ref="K39">INDEX(A1:A1000,K28)</f>
        <v>1.4</v>
      </c>
      <c r="L39" s="147" cm="1">
        <f t="array" ref="L39">INDEX(A1:A1000,L28)</f>
        <v>4.6000000000000005</v>
      </c>
      <c r="M39" s="147" cm="1">
        <f t="array" ref="M39">INDEX(A1:A1000,M28)</f>
        <v>5.2</v>
      </c>
      <c r="N39" s="121">
        <f>AVERAGE(D39:M39)</f>
        <v>2.8899999999999997</v>
      </c>
      <c r="O39" s="121">
        <f>_xlfn.VAR.S(D39:M39)</f>
        <v>3.501000000000003</v>
      </c>
      <c r="P39" s="121">
        <f>_xlfn.STDEV.S(D39:M39)</f>
        <v>1.871095935541522</v>
      </c>
      <c r="Q39" s="122">
        <f>P39/N39</f>
        <v>0.64743803997976546</v>
      </c>
      <c r="R39" s="148">
        <f>P39/(SQRT(COUNT(D39:M39)))</f>
        <v>0.5916924876994808</v>
      </c>
      <c r="S39" s="123">
        <f>MIN(D39:M39)</f>
        <v>0.4</v>
      </c>
      <c r="T39" s="123">
        <f>PERCENTILE(D39:M39, 0.25)</f>
        <v>1.4</v>
      </c>
      <c r="U39" s="123">
        <f>MEDIAN(D39:M39)</f>
        <v>3.0500000000000003</v>
      </c>
      <c r="V39" s="123">
        <f>PERCENTILE(D39:M39, 0.75)</f>
        <v>4.3250000000000002</v>
      </c>
      <c r="W39" s="123">
        <f>MAX(D39:M39)</f>
        <v>5.6000000000000005</v>
      </c>
      <c r="AA39" s="154">
        <v>1.1000000000000001</v>
      </c>
    </row>
    <row r="40" spans="1:65" s="5" customFormat="1" ht="15.75" x14ac:dyDescent="0.25">
      <c r="A40" s="145">
        <v>2.1</v>
      </c>
      <c r="B40"/>
      <c r="C40" s="38" t="s">
        <v>14</v>
      </c>
      <c r="D40" s="147" cm="1">
        <f t="array" ref="D40">INDEX(A1:A1000,D29)</f>
        <v>2.2000000000000002</v>
      </c>
      <c r="E40" s="147" cm="1">
        <f t="array" ref="E40">INDEX(A1:A1000,E29)</f>
        <v>3.6</v>
      </c>
      <c r="F40" s="147" cm="1">
        <f t="array" ref="F40">INDEX(A1:A1000,F29)</f>
        <v>1.9</v>
      </c>
      <c r="G40" s="147" cm="1">
        <f t="array" ref="G40">INDEX(A1:A1000,G29)</f>
        <v>2.6</v>
      </c>
      <c r="H40" s="147" cm="1">
        <f t="array" ref="H40">INDEX(A1:A1000,H29)</f>
        <v>3</v>
      </c>
      <c r="I40" s="147" cm="1">
        <f t="array" ref="I40">INDEX(A1:A1000,I29)</f>
        <v>2.8000000000000003</v>
      </c>
      <c r="J40" s="147" cm="1">
        <f t="array" ref="J40">INDEX(A1:A1000,J29)</f>
        <v>5.6000000000000005</v>
      </c>
      <c r="K40" s="147" cm="1">
        <f t="array" ref="K40">INDEX(A1:A1000,K29)</f>
        <v>3.8000000000000003</v>
      </c>
      <c r="L40" s="147" cm="1">
        <f t="array" ref="L40">INDEX(A1:A1000,L29)</f>
        <v>4.0999999999999996</v>
      </c>
      <c r="M40" s="147" cm="1">
        <f t="array" ref="M40">INDEX(A1:A1000,M29)</f>
        <v>3.5</v>
      </c>
      <c r="N40" s="121">
        <f t="shared" ref="N40:N45" si="2">AVERAGE(D40:M40)</f>
        <v>3.31</v>
      </c>
      <c r="O40" s="121">
        <f t="shared" ref="O40:O45" si="3">_xlfn.VAR.S(D40:M40)</f>
        <v>1.1454444444444443</v>
      </c>
      <c r="P40" s="121">
        <f t="shared" ref="P40:P45" si="4">_xlfn.STDEV.S(D40:M40)</f>
        <v>1.0702543830531339</v>
      </c>
      <c r="Q40" s="122">
        <f t="shared" ref="Q40:Q45" si="5">P40/N40</f>
        <v>0.32333969276529723</v>
      </c>
      <c r="R40" s="148">
        <f t="shared" ref="R40:R44" si="6">P40/(SQRT(COUNT(D40:M40)))</f>
        <v>0.33844415262262167</v>
      </c>
      <c r="S40" s="123">
        <f t="shared" ref="S40:S45" si="7">MIN(D40:M40)</f>
        <v>1.9</v>
      </c>
      <c r="T40" s="123">
        <f t="shared" ref="T40:T45" si="8">PERCENTILE(D40:M40, 0.25)</f>
        <v>2.6500000000000004</v>
      </c>
      <c r="U40" s="123">
        <f t="shared" ref="U40:U45" si="9">MEDIAN(D40:M40)</f>
        <v>3.25</v>
      </c>
      <c r="V40" s="123">
        <f t="shared" ref="V40:V45" si="10">PERCENTILE(D40:M40, 0.75)</f>
        <v>3.75</v>
      </c>
      <c r="W40" s="123">
        <f t="shared" ref="W40:W45" si="11">MAX(D40:M40)</f>
        <v>5.6000000000000005</v>
      </c>
      <c r="X40"/>
      <c r="Y40"/>
      <c r="Z40"/>
      <c r="AA40" s="154">
        <v>2.2999999999999998</v>
      </c>
      <c r="AB40"/>
      <c r="AC40"/>
      <c r="AD40"/>
    </row>
    <row r="41" spans="1:65" ht="15.75" x14ac:dyDescent="0.25">
      <c r="A41" s="145">
        <v>0.89999999999999991</v>
      </c>
      <c r="C41" s="38" t="s">
        <v>15</v>
      </c>
      <c r="D41" s="147" cm="1">
        <f t="array" ref="D41">INDEX(A1:A1000,D30)</f>
        <v>3.3000000000000003</v>
      </c>
      <c r="E41" s="147" cm="1">
        <f t="array" ref="E41">INDEX(A1:A1000,E30)</f>
        <v>4.6000000000000005</v>
      </c>
      <c r="F41" s="147" cm="1">
        <f t="array" ref="F41">INDEX(A1:A1000,F30)</f>
        <v>0.4</v>
      </c>
      <c r="G41" s="147" cm="1">
        <f t="array" ref="G41">INDEX(A1:A1000,G30)</f>
        <v>4</v>
      </c>
      <c r="H41" s="147" cm="1">
        <f t="array" ref="H41">INDEX(A1:A1000,H30)</f>
        <v>4.8</v>
      </c>
      <c r="I41" s="147" cm="1">
        <f t="array" ref="I41">INDEX(A1:A1000,I30)</f>
        <v>3.5</v>
      </c>
      <c r="J41" s="147" cm="1">
        <f t="array" ref="J41">INDEX(A1:A1000,J30)</f>
        <v>1.5999999999999999</v>
      </c>
      <c r="K41" s="147" cm="1">
        <f t="array" ref="K41">INDEX(A1:A1000,K30)</f>
        <v>4.5</v>
      </c>
      <c r="L41" s="147" cm="1">
        <f t="array" ref="L41">INDEX(A1:A1000,L30)</f>
        <v>2</v>
      </c>
      <c r="M41" s="147" cm="1">
        <f t="array" ref="M41">INDEX(A1:A1000,M30)</f>
        <v>4.9000000000000004</v>
      </c>
      <c r="N41" s="121">
        <f t="shared" si="2"/>
        <v>3.3600000000000003</v>
      </c>
      <c r="O41" s="121">
        <f t="shared" si="3"/>
        <v>2.3804444444444437</v>
      </c>
      <c r="P41" s="121">
        <f t="shared" si="4"/>
        <v>1.5428689006018768</v>
      </c>
      <c r="Q41" s="122">
        <f t="shared" si="5"/>
        <v>0.45918717279817756</v>
      </c>
      <c r="R41" s="148">
        <f t="shared" si="6"/>
        <v>0.48789798569418624</v>
      </c>
      <c r="S41" s="123">
        <f t="shared" si="7"/>
        <v>0.4</v>
      </c>
      <c r="T41" s="123">
        <f t="shared" si="8"/>
        <v>2.3250000000000002</v>
      </c>
      <c r="U41" s="123">
        <f t="shared" si="9"/>
        <v>3.75</v>
      </c>
      <c r="V41" s="123">
        <f t="shared" si="10"/>
        <v>4.5750000000000002</v>
      </c>
      <c r="W41" s="123">
        <f t="shared" si="11"/>
        <v>4.9000000000000004</v>
      </c>
      <c r="AA41" s="154">
        <v>3.5</v>
      </c>
    </row>
    <row r="42" spans="1:65" ht="15.75" x14ac:dyDescent="0.25">
      <c r="A42" s="145">
        <v>1.8</v>
      </c>
      <c r="C42" s="38" t="s">
        <v>16</v>
      </c>
      <c r="D42" s="147" cm="1">
        <f t="array" ref="D42">INDEX(A1:A1000,D31)</f>
        <v>3.2</v>
      </c>
      <c r="E42" s="147" cm="1">
        <f t="array" ref="E42">INDEX(A1:A1000,E31)</f>
        <v>1.1000000000000001</v>
      </c>
      <c r="F42" s="147" cm="1">
        <f t="array" ref="F42">INDEX(A1:A1000,F31)</f>
        <v>1.8</v>
      </c>
      <c r="G42" s="147" cm="1">
        <f t="array" ref="G42">INDEX(A1:A1000,G31)</f>
        <v>1.5</v>
      </c>
      <c r="H42" s="147" cm="1">
        <f t="array" ref="H42">INDEX(A1:A1000,H31)</f>
        <v>1.5999999999999999</v>
      </c>
      <c r="I42" s="147" cm="1">
        <f t="array" ref="I42">INDEX(A1:A1000,I31)</f>
        <v>1.5</v>
      </c>
      <c r="J42" s="147" cm="1">
        <f t="array" ref="J42">INDEX(A1:A1000,J31)</f>
        <v>4.8</v>
      </c>
      <c r="K42" s="147" cm="1">
        <f t="array" ref="K42">INDEX(A1:A1000,K31)</f>
        <v>3.8000000000000003</v>
      </c>
      <c r="L42" s="147" cm="1">
        <f t="array" ref="L42">INDEX(A1:A1000,L31)</f>
        <v>3</v>
      </c>
      <c r="M42" s="147" cm="1">
        <f t="array" ref="M42">INDEX(A1:A1000,M31)</f>
        <v>1.8</v>
      </c>
      <c r="N42" s="121">
        <f t="shared" si="2"/>
        <v>2.41</v>
      </c>
      <c r="O42" s="121">
        <f t="shared" si="3"/>
        <v>1.4876666666666662</v>
      </c>
      <c r="P42" s="121">
        <f t="shared" si="4"/>
        <v>1.219699416523049</v>
      </c>
      <c r="Q42" s="122">
        <f t="shared" si="5"/>
        <v>0.50609934295562198</v>
      </c>
      <c r="R42" s="148">
        <f t="shared" si="6"/>
        <v>0.38570282169912445</v>
      </c>
      <c r="S42" s="123">
        <f t="shared" si="7"/>
        <v>1.1000000000000001</v>
      </c>
      <c r="T42" s="123">
        <f t="shared" si="8"/>
        <v>1.5249999999999999</v>
      </c>
      <c r="U42" s="123">
        <f t="shared" si="9"/>
        <v>1.8</v>
      </c>
      <c r="V42" s="123">
        <f t="shared" si="10"/>
        <v>3.1500000000000004</v>
      </c>
      <c r="W42" s="123">
        <f t="shared" si="11"/>
        <v>4.8</v>
      </c>
      <c r="X42" s="5"/>
      <c r="AA42" s="154">
        <v>3.7</v>
      </c>
    </row>
    <row r="43" spans="1:65" ht="15.75" x14ac:dyDescent="0.25">
      <c r="A43" s="145">
        <v>3</v>
      </c>
      <c r="C43" s="38" t="s">
        <v>35</v>
      </c>
      <c r="D43" s="147" cm="1">
        <f t="array" ref="D43">INDEX(A1:A1000,D32)</f>
        <v>1.9</v>
      </c>
      <c r="E43" s="147" cm="1">
        <f t="array" ref="E43">INDEX(A1:A1000,E32)</f>
        <v>4.7</v>
      </c>
      <c r="F43" s="147" cm="1">
        <f t="array" ref="F43">INDEX(A1:A1000,F32)</f>
        <v>2.5</v>
      </c>
      <c r="G43" s="147" cm="1">
        <f t="array" ref="G43">INDEX(A1:A1000,G32)</f>
        <v>0.4</v>
      </c>
      <c r="H43" s="147" cm="1">
        <f t="array" ref="H43">INDEX(A1:A1000,H32)</f>
        <v>0.8</v>
      </c>
      <c r="I43" s="147" cm="1">
        <f t="array" ref="I43">INDEX(A1:A1000,I32)</f>
        <v>1</v>
      </c>
      <c r="J43" s="147" cm="1">
        <f t="array" ref="J43">INDEX(A1:A1000,J32)</f>
        <v>1.8</v>
      </c>
      <c r="K43" s="147" cm="1">
        <f t="array" ref="K43">INDEX(A1:A1000,K32)</f>
        <v>3.6</v>
      </c>
      <c r="L43" s="147" cm="1">
        <f t="array" ref="L43">INDEX(A1:A1000,L32)</f>
        <v>0.60000000000000009</v>
      </c>
      <c r="M43" s="147" cm="1">
        <f t="array" ref="M43">INDEX(A1:A1000,M32)</f>
        <v>5.2</v>
      </c>
      <c r="N43" s="121">
        <f t="shared" si="2"/>
        <v>2.2500000000000004</v>
      </c>
      <c r="O43" s="121">
        <f t="shared" si="3"/>
        <v>2.9694444444444437</v>
      </c>
      <c r="P43" s="121">
        <f t="shared" si="4"/>
        <v>1.7232076034083774</v>
      </c>
      <c r="Q43" s="122">
        <f t="shared" si="5"/>
        <v>0.76587004595927866</v>
      </c>
      <c r="R43" s="148">
        <f t="shared" si="6"/>
        <v>0.5449260908090604</v>
      </c>
      <c r="S43" s="123">
        <f t="shared" si="7"/>
        <v>0.4</v>
      </c>
      <c r="T43" s="123">
        <f t="shared" si="8"/>
        <v>0.85000000000000009</v>
      </c>
      <c r="U43" s="123">
        <f t="shared" si="9"/>
        <v>1.85</v>
      </c>
      <c r="V43" s="123">
        <f t="shared" si="10"/>
        <v>3.3250000000000002</v>
      </c>
      <c r="W43" s="123">
        <f t="shared" si="11"/>
        <v>5.2</v>
      </c>
      <c r="AA43" s="154">
        <v>1.8</v>
      </c>
    </row>
    <row r="44" spans="1:65" ht="15.75" x14ac:dyDescent="0.25">
      <c r="A44" s="145">
        <v>1</v>
      </c>
      <c r="C44" s="38" t="s">
        <v>36</v>
      </c>
      <c r="D44" s="147" cm="1">
        <f t="array" ref="D44">INDEX(A1:A1000,D33)</f>
        <v>1.5999999999999999</v>
      </c>
      <c r="E44" s="147" cm="1">
        <f t="array" ref="E44">INDEX(A1:A1000,E33)</f>
        <v>3.8000000000000003</v>
      </c>
      <c r="F44" s="147" cm="1">
        <f t="array" ref="F44">INDEX(A1:A1000,F33)</f>
        <v>1.3</v>
      </c>
      <c r="G44" s="147" cm="1">
        <f t="array" ref="G44">INDEX(A1:A1000,G33)</f>
        <v>1.5999999999999999</v>
      </c>
      <c r="H44" s="147" cm="1">
        <f t="array" ref="H44">INDEX(A1:A1000,H33)</f>
        <v>3.3000000000000003</v>
      </c>
      <c r="I44" s="147" cm="1">
        <f t="array" ref="I44">INDEX(A1:A1000,I33)</f>
        <v>3.3000000000000003</v>
      </c>
      <c r="J44" s="147" cm="1">
        <f t="array" ref="J44">INDEX(A1:A1000,J33)</f>
        <v>4.9000000000000004</v>
      </c>
      <c r="K44" s="147" cm="1">
        <f t="array" ref="K44">INDEX(A1:A1000,K33)</f>
        <v>3.1</v>
      </c>
      <c r="L44" s="147" cm="1">
        <f t="array" ref="L44">INDEX(A1:A1000,L33)</f>
        <v>0.8</v>
      </c>
      <c r="M44" s="147" cm="1">
        <f t="array" ref="M44">INDEX(A1:A1000,M33)</f>
        <v>1</v>
      </c>
      <c r="N44" s="121">
        <f t="shared" si="2"/>
        <v>2.4700000000000006</v>
      </c>
      <c r="O44" s="121">
        <f t="shared" si="3"/>
        <v>1.9201111111111087</v>
      </c>
      <c r="P44" s="121">
        <f t="shared" si="4"/>
        <v>1.3856807392437511</v>
      </c>
      <c r="Q44" s="122">
        <f t="shared" si="5"/>
        <v>0.56100434787196385</v>
      </c>
      <c r="R44" s="148">
        <f t="shared" si="6"/>
        <v>0.43819072458361191</v>
      </c>
      <c r="S44" s="123">
        <f t="shared" si="7"/>
        <v>0.8</v>
      </c>
      <c r="T44" s="123">
        <f t="shared" si="8"/>
        <v>1.375</v>
      </c>
      <c r="U44" s="123">
        <f t="shared" si="9"/>
        <v>2.35</v>
      </c>
      <c r="V44" s="123">
        <f t="shared" si="10"/>
        <v>3.3000000000000003</v>
      </c>
      <c r="W44" s="123">
        <f t="shared" si="11"/>
        <v>4.9000000000000004</v>
      </c>
      <c r="AA44" s="154">
        <v>4.5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</row>
    <row r="45" spans="1:65" ht="15.75" x14ac:dyDescent="0.25">
      <c r="A45" s="145">
        <v>1.2</v>
      </c>
      <c r="C45" s="38" t="s">
        <v>37</v>
      </c>
      <c r="D45" s="147" cm="1">
        <f t="array" ref="D45">INDEX(A1:A1000,D34)</f>
        <v>1.5999999999999999</v>
      </c>
      <c r="E45" s="147" cm="1">
        <f t="array" ref="E45">INDEX(A1:A1000,E34)</f>
        <v>1.4</v>
      </c>
      <c r="F45" s="147" cm="1">
        <f t="array" ref="F45">INDEX(A1:A1000,F34)</f>
        <v>4.8</v>
      </c>
      <c r="G45" s="147" cm="1">
        <f t="array" ref="G45">INDEX(A1:A1000,G34)</f>
        <v>3.8000000000000003</v>
      </c>
      <c r="H45" s="147" cm="1">
        <f t="array" ref="H45">INDEX(A1:A1000,H34)</f>
        <v>4</v>
      </c>
      <c r="I45" s="147" cm="1">
        <f t="array" ref="I45">INDEX(A1:A1000,I34)</f>
        <v>0.89999999999999991</v>
      </c>
      <c r="J45" s="147" cm="1">
        <f t="array" ref="J45">INDEX(A1:A1000,J34)</f>
        <v>4.2</v>
      </c>
      <c r="K45" s="147" cm="1">
        <f t="array" ref="K45">INDEX(A1:A1000,K34)</f>
        <v>2.8000000000000003</v>
      </c>
      <c r="L45" s="147" cm="1">
        <f t="array" ref="L45">INDEX(A1:A1000,L34)</f>
        <v>0.30000000000000004</v>
      </c>
      <c r="M45" s="147" cm="1">
        <f t="array" ref="M45">INDEX(A1:A1000,M34)</f>
        <v>1.1000000000000001</v>
      </c>
      <c r="N45" s="121">
        <f t="shared" si="2"/>
        <v>2.4900000000000002</v>
      </c>
      <c r="O45" s="121">
        <f t="shared" si="3"/>
        <v>2.6209999999999991</v>
      </c>
      <c r="P45" s="121">
        <f t="shared" si="4"/>
        <v>1.6189502771858064</v>
      </c>
      <c r="Q45" s="122">
        <f t="shared" si="5"/>
        <v>0.65018083421116724</v>
      </c>
      <c r="R45" s="148">
        <f>P45/(SQRT(COUNT(D45:M45)))</f>
        <v>0.5119570294468081</v>
      </c>
      <c r="S45" s="123">
        <f t="shared" si="7"/>
        <v>0.30000000000000004</v>
      </c>
      <c r="T45" s="123">
        <f t="shared" si="8"/>
        <v>1.175</v>
      </c>
      <c r="U45" s="123">
        <f t="shared" si="9"/>
        <v>2.2000000000000002</v>
      </c>
      <c r="V45" s="123">
        <f t="shared" si="10"/>
        <v>3.95</v>
      </c>
      <c r="W45" s="123">
        <f t="shared" si="11"/>
        <v>4.8</v>
      </c>
      <c r="X45" s="5"/>
      <c r="AA45" s="154">
        <v>0.4</v>
      </c>
    </row>
    <row r="46" spans="1:65" ht="15.75" x14ac:dyDescent="0.25">
      <c r="A46" s="145">
        <v>3</v>
      </c>
      <c r="C46" s="38" t="s">
        <v>88</v>
      </c>
      <c r="D46" s="129"/>
      <c r="E46" s="130"/>
      <c r="F46" s="130"/>
      <c r="G46" s="130"/>
      <c r="H46" s="130"/>
      <c r="I46" s="130"/>
      <c r="J46" s="130"/>
      <c r="K46" s="130"/>
      <c r="L46" s="130"/>
      <c r="M46" s="130"/>
      <c r="N46" s="63">
        <f>AVERAGE(N39:N45)</f>
        <v>2.7399999999999998</v>
      </c>
      <c r="O46" s="59"/>
      <c r="P46" s="14"/>
      <c r="Q46" s="14"/>
      <c r="R46" s="14"/>
      <c r="S46" s="14"/>
      <c r="T46" s="14"/>
      <c r="U46" s="14"/>
      <c r="V46" s="14"/>
      <c r="AA46" s="154">
        <v>2.9</v>
      </c>
      <c r="AD46" s="5"/>
    </row>
    <row r="47" spans="1:65" ht="15.75" x14ac:dyDescent="0.25">
      <c r="A47" s="145">
        <v>4.3</v>
      </c>
      <c r="C47" s="38" t="s">
        <v>89</v>
      </c>
      <c r="D47" s="129"/>
      <c r="E47" s="130"/>
      <c r="F47" s="130"/>
      <c r="G47" s="130"/>
      <c r="H47" s="130"/>
      <c r="I47" s="130"/>
      <c r="J47" s="130"/>
      <c r="K47" s="130"/>
      <c r="L47" s="130"/>
      <c r="M47" s="130"/>
      <c r="N47" s="61">
        <f>_xlfn.STDEV.S(D39:M45)</f>
        <v>1.5054875468177025</v>
      </c>
      <c r="O47" s="49"/>
      <c r="P47" s="14"/>
      <c r="Q47" s="14"/>
      <c r="R47" s="14"/>
      <c r="S47" s="80"/>
      <c r="T47" s="14"/>
      <c r="U47" s="14"/>
      <c r="V47" s="14"/>
      <c r="AA47" s="155">
        <v>3.8</v>
      </c>
      <c r="AB47" s="5"/>
      <c r="AC47" s="5"/>
    </row>
    <row r="48" spans="1:65" ht="15.75" x14ac:dyDescent="0.25">
      <c r="A48" s="145">
        <v>3.7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 t="s">
        <v>23</v>
      </c>
      <c r="O48" s="14"/>
      <c r="P48" s="14"/>
      <c r="Q48" s="14"/>
      <c r="R48" s="14"/>
      <c r="S48" s="80"/>
      <c r="T48" s="14"/>
      <c r="U48" s="14"/>
      <c r="V48" s="14"/>
      <c r="AA48" s="154">
        <v>2</v>
      </c>
    </row>
    <row r="49" spans="1:27" ht="15.75" x14ac:dyDescent="0.25">
      <c r="A49" s="145">
        <v>1.5999999999999999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80"/>
      <c r="T49" s="14"/>
      <c r="U49" s="14"/>
      <c r="V49" s="14"/>
      <c r="AA49" s="154">
        <v>6.3</v>
      </c>
    </row>
    <row r="50" spans="1:27" ht="15.75" x14ac:dyDescent="0.25">
      <c r="A50" s="145">
        <v>1.1000000000000001</v>
      </c>
      <c r="C50" s="50" t="s">
        <v>22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80"/>
      <c r="T50" s="14"/>
      <c r="U50" s="14"/>
      <c r="V50" s="14"/>
      <c r="X50" s="5"/>
      <c r="Y50" s="5"/>
      <c r="Z50" s="5"/>
      <c r="AA50" s="154">
        <v>2.5</v>
      </c>
    </row>
    <row r="51" spans="1:27" ht="15.75" x14ac:dyDescent="0.25">
      <c r="A51" s="145">
        <v>0.8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80"/>
      <c r="T51" s="14"/>
      <c r="U51" s="14"/>
      <c r="V51" s="14"/>
      <c r="AA51" s="154">
        <v>3.3</v>
      </c>
    </row>
    <row r="52" spans="1:27" ht="15.75" x14ac:dyDescent="0.25">
      <c r="A52" s="145">
        <v>1.7</v>
      </c>
      <c r="C52" s="51"/>
      <c r="D52" s="52">
        <v>1</v>
      </c>
      <c r="E52" s="52">
        <v>2</v>
      </c>
      <c r="F52" s="52">
        <v>3</v>
      </c>
      <c r="G52" s="52">
        <v>4</v>
      </c>
      <c r="H52" s="52">
        <v>5</v>
      </c>
      <c r="I52" s="52">
        <v>6</v>
      </c>
      <c r="J52" s="52">
        <v>7</v>
      </c>
      <c r="K52" s="52">
        <v>8</v>
      </c>
      <c r="L52" s="52">
        <v>9</v>
      </c>
      <c r="M52" s="52">
        <v>10</v>
      </c>
      <c r="N52" s="14"/>
      <c r="P52" s="14"/>
      <c r="Q52" s="14"/>
      <c r="R52" s="14"/>
      <c r="S52" s="80"/>
      <c r="T52" s="14"/>
      <c r="U52" s="14"/>
      <c r="V52" s="14"/>
      <c r="AA52" s="154">
        <v>5</v>
      </c>
    </row>
    <row r="53" spans="1:27" ht="15.75" x14ac:dyDescent="0.25">
      <c r="A53" s="145">
        <v>1.1000000000000001</v>
      </c>
      <c r="B53" s="10"/>
      <c r="C53" s="51" t="s">
        <v>34</v>
      </c>
      <c r="D53" s="124">
        <v>8</v>
      </c>
      <c r="E53" s="124">
        <v>108</v>
      </c>
      <c r="F53" s="124">
        <v>208</v>
      </c>
      <c r="G53" s="124">
        <v>308</v>
      </c>
      <c r="H53" s="124">
        <v>408</v>
      </c>
      <c r="I53" s="124">
        <v>508</v>
      </c>
      <c r="J53" s="124">
        <v>608</v>
      </c>
      <c r="K53" s="124">
        <v>708</v>
      </c>
      <c r="L53" s="124">
        <v>808</v>
      </c>
      <c r="M53" s="124">
        <v>908</v>
      </c>
      <c r="N53" s="54"/>
      <c r="S53" s="14"/>
      <c r="T53" s="14"/>
      <c r="U53" s="14"/>
      <c r="V53" s="14"/>
      <c r="AA53" s="154">
        <v>1</v>
      </c>
    </row>
    <row r="54" spans="1:27" ht="15.75" x14ac:dyDescent="0.25">
      <c r="A54" s="145">
        <v>3.2</v>
      </c>
      <c r="C54" s="51" t="s">
        <v>90</v>
      </c>
      <c r="D54" s="124">
        <v>19</v>
      </c>
      <c r="E54" s="124">
        <v>119</v>
      </c>
      <c r="F54" s="124">
        <v>219</v>
      </c>
      <c r="G54" s="124">
        <v>319</v>
      </c>
      <c r="H54" s="124">
        <v>419</v>
      </c>
      <c r="I54" s="124">
        <v>519</v>
      </c>
      <c r="J54" s="124">
        <v>619</v>
      </c>
      <c r="K54" s="124">
        <v>719</v>
      </c>
      <c r="L54" s="124">
        <v>819</v>
      </c>
      <c r="M54" s="124">
        <v>919</v>
      </c>
      <c r="N54" s="54"/>
      <c r="S54" s="14"/>
      <c r="T54" s="14"/>
      <c r="U54" s="14"/>
      <c r="V54" s="14"/>
      <c r="AA54" s="154">
        <v>0.8</v>
      </c>
    </row>
    <row r="55" spans="1:27" ht="15.75" x14ac:dyDescent="0.25">
      <c r="A55" s="145">
        <v>4.3</v>
      </c>
      <c r="C55" s="51" t="s">
        <v>91</v>
      </c>
      <c r="D55" s="124">
        <v>30</v>
      </c>
      <c r="E55" s="124">
        <v>130</v>
      </c>
      <c r="F55" s="124">
        <v>230</v>
      </c>
      <c r="G55" s="124">
        <v>330</v>
      </c>
      <c r="H55" s="124">
        <v>430</v>
      </c>
      <c r="I55" s="124">
        <v>530</v>
      </c>
      <c r="J55" s="124">
        <v>630</v>
      </c>
      <c r="K55" s="124">
        <v>730</v>
      </c>
      <c r="L55" s="124">
        <v>830</v>
      </c>
      <c r="M55" s="124">
        <v>930</v>
      </c>
      <c r="N55" s="54"/>
      <c r="S55" s="14"/>
      <c r="T55" s="14"/>
      <c r="U55" s="14"/>
      <c r="V55" s="14"/>
      <c r="AA55" s="154">
        <v>1.8</v>
      </c>
    </row>
    <row r="56" spans="1:27" ht="15.75" x14ac:dyDescent="0.25">
      <c r="A56" s="145">
        <v>2.3000000000000003</v>
      </c>
      <c r="C56" s="51" t="s">
        <v>92</v>
      </c>
      <c r="D56" s="125">
        <v>41</v>
      </c>
      <c r="E56" s="125">
        <v>141</v>
      </c>
      <c r="F56" s="125">
        <v>241</v>
      </c>
      <c r="G56" s="125">
        <v>341</v>
      </c>
      <c r="H56" s="125">
        <v>441</v>
      </c>
      <c r="I56" s="125">
        <v>541</v>
      </c>
      <c r="J56" s="125">
        <v>641</v>
      </c>
      <c r="K56" s="125">
        <v>741</v>
      </c>
      <c r="L56" s="125">
        <v>841</v>
      </c>
      <c r="M56" s="125">
        <v>941</v>
      </c>
      <c r="N56" s="54"/>
      <c r="S56" s="14"/>
      <c r="T56" s="14"/>
      <c r="U56" s="14"/>
      <c r="V56" s="14"/>
      <c r="AA56" s="154">
        <v>4.9000000000000004</v>
      </c>
    </row>
    <row r="57" spans="1:27" ht="15.75" x14ac:dyDescent="0.25">
      <c r="A57" s="145">
        <v>4.6000000000000005</v>
      </c>
      <c r="C57" s="51" t="s">
        <v>93</v>
      </c>
      <c r="D57" s="124">
        <v>52</v>
      </c>
      <c r="E57" s="125">
        <v>152</v>
      </c>
      <c r="F57" s="124">
        <v>252</v>
      </c>
      <c r="G57" s="125">
        <v>352</v>
      </c>
      <c r="H57" s="124">
        <v>452</v>
      </c>
      <c r="I57" s="125">
        <v>552</v>
      </c>
      <c r="J57" s="124">
        <v>652</v>
      </c>
      <c r="K57" s="125">
        <v>752</v>
      </c>
      <c r="L57" s="124">
        <v>852</v>
      </c>
      <c r="M57" s="125">
        <v>952</v>
      </c>
      <c r="N57" s="14"/>
      <c r="S57" s="14"/>
      <c r="T57" s="14"/>
      <c r="U57" s="14"/>
      <c r="V57" s="14"/>
      <c r="AA57" s="154">
        <v>3.2</v>
      </c>
    </row>
    <row r="58" spans="1:27" ht="15.75" x14ac:dyDescent="0.25">
      <c r="A58" s="145">
        <v>0.2</v>
      </c>
      <c r="C58" s="51" t="s">
        <v>94</v>
      </c>
      <c r="D58" s="124">
        <v>63</v>
      </c>
      <c r="E58" s="125">
        <v>163</v>
      </c>
      <c r="F58" s="124">
        <v>263</v>
      </c>
      <c r="G58" s="125">
        <v>363</v>
      </c>
      <c r="H58" s="124">
        <v>463</v>
      </c>
      <c r="I58" s="125">
        <v>563</v>
      </c>
      <c r="J58" s="124">
        <v>663</v>
      </c>
      <c r="K58" s="125">
        <v>763</v>
      </c>
      <c r="L58" s="124">
        <v>863</v>
      </c>
      <c r="M58" s="125">
        <v>963</v>
      </c>
      <c r="N58" s="14"/>
      <c r="S58" s="14"/>
      <c r="T58" s="14"/>
      <c r="U58" s="14"/>
      <c r="V58" s="14"/>
      <c r="AA58" s="154">
        <v>5.6</v>
      </c>
    </row>
    <row r="59" spans="1:27" ht="15.75" x14ac:dyDescent="0.25">
      <c r="A59" s="145">
        <v>3.5</v>
      </c>
      <c r="C59" s="51" t="s">
        <v>95</v>
      </c>
      <c r="D59" s="124">
        <v>74</v>
      </c>
      <c r="E59" s="125">
        <v>174</v>
      </c>
      <c r="F59" s="124">
        <v>274</v>
      </c>
      <c r="G59" s="125">
        <v>374</v>
      </c>
      <c r="H59" s="124">
        <v>474</v>
      </c>
      <c r="I59" s="125">
        <v>574</v>
      </c>
      <c r="J59" s="124">
        <v>674</v>
      </c>
      <c r="K59" s="125">
        <v>774</v>
      </c>
      <c r="L59" s="124">
        <v>874</v>
      </c>
      <c r="M59" s="125">
        <v>974</v>
      </c>
      <c r="N59" s="14"/>
      <c r="O59" s="14"/>
      <c r="P59" s="14"/>
      <c r="Q59" s="14"/>
      <c r="R59" s="14"/>
      <c r="S59" s="14"/>
      <c r="T59" s="14"/>
      <c r="U59" s="14"/>
      <c r="V59" s="14"/>
      <c r="AA59" s="154">
        <v>3.7</v>
      </c>
    </row>
    <row r="60" spans="1:27" ht="15.75" x14ac:dyDescent="0.25">
      <c r="A60" s="145">
        <v>1.1000000000000001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AA60" s="154">
        <v>2.7</v>
      </c>
    </row>
    <row r="61" spans="1:27" ht="15.75" x14ac:dyDescent="0.25">
      <c r="A61" s="145">
        <v>1.9</v>
      </c>
      <c r="C61" s="53" t="s">
        <v>30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AA61" s="154">
        <v>3.8</v>
      </c>
    </row>
    <row r="62" spans="1:27" ht="15.75" x14ac:dyDescent="0.25">
      <c r="A62" s="145">
        <v>1.8</v>
      </c>
      <c r="C62" s="52"/>
      <c r="D62" s="52">
        <v>1</v>
      </c>
      <c r="E62" s="52">
        <v>2</v>
      </c>
      <c r="F62" s="52">
        <v>3</v>
      </c>
      <c r="G62" s="52">
        <v>4</v>
      </c>
      <c r="H62" s="52">
        <v>5</v>
      </c>
      <c r="I62" s="52">
        <v>6</v>
      </c>
      <c r="J62" s="52">
        <v>7</v>
      </c>
      <c r="K62" s="52">
        <v>8</v>
      </c>
      <c r="L62" s="52">
        <v>9</v>
      </c>
      <c r="M62" s="52">
        <v>10</v>
      </c>
      <c r="N62" s="52" t="s">
        <v>17</v>
      </c>
      <c r="O62" s="52" t="s">
        <v>18</v>
      </c>
      <c r="P62" s="52" t="s">
        <v>19</v>
      </c>
      <c r="Q62" s="52" t="s">
        <v>20</v>
      </c>
      <c r="R62" s="52" t="s">
        <v>21</v>
      </c>
      <c r="S62" s="43" t="s">
        <v>58</v>
      </c>
      <c r="T62" s="43" t="s">
        <v>66</v>
      </c>
      <c r="U62" s="43" t="s">
        <v>26</v>
      </c>
      <c r="V62" s="43" t="s">
        <v>67</v>
      </c>
      <c r="W62" s="43" t="s">
        <v>59</v>
      </c>
      <c r="AA62" s="154">
        <v>4</v>
      </c>
    </row>
    <row r="63" spans="1:27" ht="15.75" x14ac:dyDescent="0.25">
      <c r="A63" s="145">
        <v>2.2000000000000002</v>
      </c>
      <c r="C63" s="54"/>
      <c r="D63" s="44"/>
      <c r="E63" s="54"/>
      <c r="F63" s="44"/>
      <c r="G63" s="44"/>
      <c r="H63" s="44"/>
      <c r="I63" s="44"/>
      <c r="J63" s="44"/>
      <c r="K63" s="44"/>
      <c r="L63" s="44"/>
      <c r="M63" s="45"/>
      <c r="N63" s="55"/>
      <c r="O63" s="55"/>
      <c r="P63" s="55"/>
      <c r="Q63" s="55"/>
      <c r="R63" s="44"/>
      <c r="S63" s="47"/>
      <c r="T63" s="47"/>
      <c r="U63" s="48"/>
      <c r="V63" s="48"/>
      <c r="W63" s="48"/>
      <c r="AA63" s="154">
        <v>3.1</v>
      </c>
    </row>
    <row r="64" spans="1:27" ht="15.75" x14ac:dyDescent="0.25">
      <c r="A64" s="145">
        <v>3.8000000000000003</v>
      </c>
      <c r="C64" s="51" t="s">
        <v>24</v>
      </c>
      <c r="D64" s="149" cm="1">
        <f t="array" ref="D64">INDEX(A1:A1000,D53)</f>
        <v>3.4000000000000004</v>
      </c>
      <c r="E64" s="149" cm="1">
        <f t="array" ref="E64">INDEX(A1:A1000,E53,1)</f>
        <v>2</v>
      </c>
      <c r="F64" s="149" cm="1">
        <f t="array" ref="F64">INDEX(A1:A1000,F53,1)</f>
        <v>1.7</v>
      </c>
      <c r="G64" s="149" cm="1">
        <f t="array" ref="G64">INDEX(A1:A1000,G53,1)</f>
        <v>2.8000000000000003</v>
      </c>
      <c r="H64" s="149" cm="1">
        <f t="array" ref="H64">INDEX(A1:A1000,H53,1)</f>
        <v>1.4</v>
      </c>
      <c r="I64" s="149" cm="1">
        <f t="array" ref="I64">INDEX(A1:A1000,I53,1)</f>
        <v>4.5</v>
      </c>
      <c r="J64" s="149" cm="1">
        <f t="array" ref="J64">INDEX(A1:A1000,J53,1)</f>
        <v>1.3</v>
      </c>
      <c r="K64" s="149" cm="1">
        <f t="array" ref="K64">INDEX(A1:A1000,K53,1)</f>
        <v>3</v>
      </c>
      <c r="L64" s="149" cm="1">
        <f t="array" ref="L64">INDEX(A1:A1000,L53,1)</f>
        <v>2.1</v>
      </c>
      <c r="M64" s="149" cm="1">
        <f t="array" ref="M64">INDEX(A1:A1000,M53,1)</f>
        <v>3.7</v>
      </c>
      <c r="N64" s="127">
        <f>AVERAGE(D64:M64)</f>
        <v>2.5900000000000003</v>
      </c>
      <c r="O64" s="127">
        <f>_xlfn.VAR.S(D64:M64)</f>
        <v>1.1343333333333336</v>
      </c>
      <c r="P64" s="127">
        <f>_xlfn.STDEV.S(D64:M64)</f>
        <v>1.0650508595054669</v>
      </c>
      <c r="Q64" s="128">
        <f>P64/N64</f>
        <v>0.41121654807160879</v>
      </c>
      <c r="R64" s="61">
        <f>P64/(SQRT(COUNT(D64:M64)))</f>
        <v>0.33679865399572689</v>
      </c>
      <c r="S64" s="126">
        <f>MIN(D64:M64)</f>
        <v>1.3</v>
      </c>
      <c r="T64" s="126">
        <f>PERCENTILE(D64:M64, 0.25)</f>
        <v>1.7749999999999999</v>
      </c>
      <c r="U64" s="126">
        <f>MEDIAN(D64:M64)</f>
        <v>2.4500000000000002</v>
      </c>
      <c r="V64" s="126">
        <f>PERCENTILE(D64:M64, 0.75)</f>
        <v>3.3000000000000003</v>
      </c>
      <c r="W64" s="126">
        <f>MAX(D64:M64)</f>
        <v>4.5</v>
      </c>
      <c r="AA64" s="154">
        <v>1</v>
      </c>
    </row>
    <row r="65" spans="1:27" ht="15.75" x14ac:dyDescent="0.25">
      <c r="A65" s="145">
        <v>2.5</v>
      </c>
      <c r="C65" s="51" t="s">
        <v>96</v>
      </c>
      <c r="D65" s="149" cm="1">
        <f t="array" ref="D65">INDEX(A1:A1000,D54)</f>
        <v>3.3000000000000003</v>
      </c>
      <c r="E65" s="149" cm="1">
        <f t="array" ref="E65">INDEX(A1:A1000,E54,1)</f>
        <v>0.5</v>
      </c>
      <c r="F65" s="149" cm="1">
        <f t="array" ref="F65">INDEX(A1:A1000,F54,1)</f>
        <v>2</v>
      </c>
      <c r="G65" s="149" cm="1">
        <f t="array" ref="G65">INDEX(A1:A1000,G54,1)</f>
        <v>0.4</v>
      </c>
      <c r="H65" s="149" cm="1">
        <f t="array" ref="H65">INDEX(A1:A1000,H54,1)</f>
        <v>1.5999999999999999</v>
      </c>
      <c r="I65" s="149" cm="1">
        <f t="array" ref="I65">INDEX(A1:A1000,I54,1)</f>
        <v>3.1</v>
      </c>
      <c r="J65" s="149" cm="1">
        <f t="array" ref="J65">INDEX(A1:A1000,J54,1)</f>
        <v>0.7</v>
      </c>
      <c r="K65" s="149" cm="1">
        <f t="array" ref="K65">INDEX(A1:A1000,K54,1)</f>
        <v>4.4000000000000004</v>
      </c>
      <c r="L65" s="149" cm="1">
        <f t="array" ref="L65">INDEX(A1:A1000,L54,1)</f>
        <v>4.8</v>
      </c>
      <c r="M65" s="149" cm="1">
        <f t="array" ref="M65">INDEX(A1:A1000,M54,1)</f>
        <v>5.2</v>
      </c>
      <c r="N65" s="127">
        <f>AVERAGE(D65:M65)</f>
        <v>2.6</v>
      </c>
      <c r="O65" s="127">
        <f t="shared" ref="O65:O70" si="12">_xlfn.VAR.S(D65:M65)</f>
        <v>3.311111111111114</v>
      </c>
      <c r="P65" s="127">
        <f t="shared" ref="P65:P70" si="13">_xlfn.STDEV.S(D65:M65)</f>
        <v>1.8196458751941582</v>
      </c>
      <c r="Q65" s="128">
        <f>P65/N65</f>
        <v>0.69986379815159927</v>
      </c>
      <c r="R65" s="61">
        <f>P65/(SQRT(COUNT(D65:M65)))</f>
        <v>0.57542255005440246</v>
      </c>
      <c r="S65" s="126">
        <f t="shared" ref="S65:S70" si="14">MIN(D65:M65)</f>
        <v>0.4</v>
      </c>
      <c r="T65" s="126">
        <f t="shared" ref="T65:T70" si="15">PERCENTILE(D65:M65, 0.25)</f>
        <v>0.92499999999999993</v>
      </c>
      <c r="U65" s="126">
        <f t="shared" ref="U65:U70" si="16">MEDIAN(D65:M65)</f>
        <v>2.5499999999999998</v>
      </c>
      <c r="V65" s="126">
        <f t="shared" ref="V65:V69" si="17">PERCENTILE(D65:M65, 0.75)</f>
        <v>4.125</v>
      </c>
      <c r="W65" s="126">
        <f t="shared" ref="W65:W70" si="18">MAX(D65:M65)</f>
        <v>5.2</v>
      </c>
      <c r="AA65" s="154">
        <v>3.4</v>
      </c>
    </row>
    <row r="66" spans="1:27" ht="15.75" x14ac:dyDescent="0.25">
      <c r="A66" s="145">
        <v>3.4000000000000004</v>
      </c>
      <c r="C66" s="51" t="s">
        <v>97</v>
      </c>
      <c r="D66" s="149" cm="1">
        <f t="array" ref="D66">INDEX(A1:A1000,D55)</f>
        <v>0.89999999999999991</v>
      </c>
      <c r="E66" s="149" cm="1">
        <f t="array" ref="E66">INDEX(A1:A1000,E55,1)</f>
        <v>3.5</v>
      </c>
      <c r="F66" s="149" cm="1">
        <f t="array" ref="F66">INDEX(A1:A1000,F55,1)</f>
        <v>2.5</v>
      </c>
      <c r="G66" s="149" cm="1">
        <f t="array" ref="G66">INDEX(A1:A1000,G55,1)</f>
        <v>5.4</v>
      </c>
      <c r="H66" s="149" cm="1">
        <f t="array" ref="H66">INDEX(A1:A1000,H55,1)</f>
        <v>3</v>
      </c>
      <c r="I66" s="149" cm="1">
        <f t="array" ref="I66">INDEX(A1:A1000,I55,1)</f>
        <v>1.1000000000000001</v>
      </c>
      <c r="J66" s="149" cm="1">
        <f t="array" ref="J66">INDEX(A1:A1000,J55,1)</f>
        <v>1.3</v>
      </c>
      <c r="K66" s="149" cm="1">
        <f t="array" ref="K66">INDEX(A1:A1000,K55,1)</f>
        <v>0.89999999999999991</v>
      </c>
      <c r="L66" s="149" cm="1">
        <f t="array" ref="L66">INDEX(A1:A1000,L55,1)</f>
        <v>0.30000000000000004</v>
      </c>
      <c r="M66" s="149" cm="1">
        <f t="array" ref="M66">INDEX(A1:A1000,M55,1)</f>
        <v>2.7</v>
      </c>
      <c r="N66" s="127">
        <f t="shared" ref="N66:N70" si="19">AVERAGE(D66:M66)</f>
        <v>2.16</v>
      </c>
      <c r="O66" s="127">
        <f t="shared" si="12"/>
        <v>2.4337777777777791</v>
      </c>
      <c r="P66" s="127">
        <f t="shared" si="13"/>
        <v>1.5600569790164009</v>
      </c>
      <c r="Q66" s="128">
        <f t="shared" ref="Q66:Q68" si="20">P66/N66</f>
        <v>0.72224860139648184</v>
      </c>
      <c r="R66" s="61">
        <f t="shared" ref="R66:R69" si="21">P66/(SQRT(COUNT(D66:M66)))</f>
        <v>0.49333333333333346</v>
      </c>
      <c r="S66" s="126">
        <f t="shared" si="14"/>
        <v>0.30000000000000004</v>
      </c>
      <c r="T66" s="126">
        <f t="shared" si="15"/>
        <v>0.95</v>
      </c>
      <c r="U66" s="126">
        <f t="shared" si="16"/>
        <v>1.9</v>
      </c>
      <c r="V66" s="126">
        <f t="shared" si="17"/>
        <v>2.9249999999999998</v>
      </c>
      <c r="W66" s="126">
        <f t="shared" si="18"/>
        <v>5.4</v>
      </c>
      <c r="AA66" s="154">
        <v>1.3</v>
      </c>
    </row>
    <row r="67" spans="1:27" ht="15.75" x14ac:dyDescent="0.25">
      <c r="A67" s="145">
        <v>5.8</v>
      </c>
      <c r="C67" s="51" t="s">
        <v>98</v>
      </c>
      <c r="D67" s="149" cm="1">
        <f t="array" ref="D67">INDEX(A1:A1000,D56)</f>
        <v>0.89999999999999991</v>
      </c>
      <c r="E67" s="149" cm="1">
        <f t="array" ref="E67">INDEX(A1:A1000,E56,1)</f>
        <v>2.3000000000000003</v>
      </c>
      <c r="F67" s="149" cm="1">
        <f t="array" ref="F67">INDEX(A1:A1000,F56,1)</f>
        <v>3.7</v>
      </c>
      <c r="G67" s="149" cm="1">
        <f t="array" ref="G67">INDEX(A1:A1000,G56,1)</f>
        <v>1.1000000000000001</v>
      </c>
      <c r="H67" s="149" cm="1">
        <f t="array" ref="H67">INDEX(A1:A1000,H56,1)</f>
        <v>5.6000000000000005</v>
      </c>
      <c r="I67" s="149" cm="1">
        <f t="array" ref="I67">INDEX(A1:A1000,I56,1)</f>
        <v>1.9</v>
      </c>
      <c r="J67" s="149" cm="1">
        <f t="array" ref="J67">INDEX(A1:A1000,J56,1)</f>
        <v>1.2</v>
      </c>
      <c r="K67" s="149" cm="1">
        <f t="array" ref="K67">INDEX(A1:A1000,K56,1)</f>
        <v>2</v>
      </c>
      <c r="L67" s="149" cm="1">
        <f t="array" ref="L67">INDEX(A1:A1000,L56,1)</f>
        <v>3.7</v>
      </c>
      <c r="M67" s="149" cm="1">
        <f t="array" ref="M67">INDEX(A1:A1000,M56,1)</f>
        <v>4.8</v>
      </c>
      <c r="N67" s="127">
        <f>AVERAGE(D67:M67)</f>
        <v>2.72</v>
      </c>
      <c r="O67" s="127">
        <f t="shared" si="12"/>
        <v>2.6840000000000006</v>
      </c>
      <c r="P67" s="127">
        <f>_xlfn.STDEV.S(D67:M67)</f>
        <v>1.6382917933017918</v>
      </c>
      <c r="Q67" s="128">
        <f>P67/N67</f>
        <v>0.60231315930212925</v>
      </c>
      <c r="R67" s="61">
        <f t="shared" si="21"/>
        <v>0.51807335387954478</v>
      </c>
      <c r="S67" s="126">
        <f t="shared" si="14"/>
        <v>0.89999999999999991</v>
      </c>
      <c r="T67" s="126">
        <f t="shared" si="15"/>
        <v>1.375</v>
      </c>
      <c r="U67" s="126">
        <f t="shared" si="16"/>
        <v>2.1500000000000004</v>
      </c>
      <c r="V67" s="126">
        <f t="shared" si="17"/>
        <v>3.7</v>
      </c>
      <c r="W67" s="126">
        <f t="shared" si="18"/>
        <v>5.6000000000000005</v>
      </c>
      <c r="AA67" s="154">
        <v>2.4</v>
      </c>
    </row>
    <row r="68" spans="1:27" ht="15.75" x14ac:dyDescent="0.25">
      <c r="A68" s="145">
        <v>2.1</v>
      </c>
      <c r="C68" s="51" t="s">
        <v>99</v>
      </c>
      <c r="D68" s="149" cm="1">
        <f t="array" ref="D68">INDEX(A1:A1000,D57)</f>
        <v>1.7</v>
      </c>
      <c r="E68" s="149" cm="1">
        <f t="array" ref="E68">INDEX(A1:A1000,E57,1)</f>
        <v>3.2</v>
      </c>
      <c r="F68" s="149" cm="1">
        <f t="array" ref="F68">INDEX(A1:A1000,F57,1)</f>
        <v>0.8</v>
      </c>
      <c r="G68" s="149" cm="1">
        <f t="array" ref="G68">INDEX(A1:A1000,G57,1)</f>
        <v>4</v>
      </c>
      <c r="H68" s="149" cm="1">
        <f t="array" ref="H68">INDEX(A1:A1000,H57,1)</f>
        <v>4</v>
      </c>
      <c r="I68" s="149" cm="1">
        <f t="array" ref="I68">INDEX(A1:A1000,I57,1)</f>
        <v>5.1000000000000005</v>
      </c>
      <c r="J68" s="149" cm="1">
        <f t="array" ref="J68">INDEX(A1:A1000,J57,1)</f>
        <v>3.8000000000000003</v>
      </c>
      <c r="K68" s="149" cm="1">
        <f t="array" ref="K68">INDEX(A1:A1000,K57,1)</f>
        <v>0.30000000000000004</v>
      </c>
      <c r="L68" s="149" cm="1">
        <f t="array" ref="L68">INDEX(A1:A1000,L57,1)</f>
        <v>2.7</v>
      </c>
      <c r="M68" s="149" cm="1">
        <f t="array" ref="M68">INDEX(A1:A1000,M57,1)</f>
        <v>3.2</v>
      </c>
      <c r="N68" s="127">
        <f t="shared" si="19"/>
        <v>2.88</v>
      </c>
      <c r="O68" s="127">
        <f>_xlfn.VAR.S(D68:M68)</f>
        <v>2.3217777777777777</v>
      </c>
      <c r="P68" s="127">
        <f t="shared" si="13"/>
        <v>1.5237380935639095</v>
      </c>
      <c r="Q68" s="128">
        <f t="shared" si="20"/>
        <v>0.52907572693191307</v>
      </c>
      <c r="R68" s="61">
        <f t="shared" si="21"/>
        <v>0.48184829332247064</v>
      </c>
      <c r="S68" s="126">
        <f t="shared" si="14"/>
        <v>0.30000000000000004</v>
      </c>
      <c r="T68" s="126">
        <f t="shared" si="15"/>
        <v>1.95</v>
      </c>
      <c r="U68" s="126">
        <f t="shared" si="16"/>
        <v>3.2</v>
      </c>
      <c r="V68" s="126">
        <f t="shared" si="17"/>
        <v>3.95</v>
      </c>
      <c r="W68" s="126">
        <f t="shared" si="18"/>
        <v>5.1000000000000005</v>
      </c>
      <c r="AA68" s="154">
        <v>4</v>
      </c>
    </row>
    <row r="69" spans="1:27" ht="15.75" x14ac:dyDescent="0.25">
      <c r="A69" s="145">
        <v>2.8000000000000003</v>
      </c>
      <c r="C69" s="51" t="s">
        <v>100</v>
      </c>
      <c r="D69" s="149" cm="1">
        <f t="array" ref="D69">INDEX(A1:A1000,D58)</f>
        <v>2.2000000000000002</v>
      </c>
      <c r="E69" s="149" cm="1">
        <f t="array" ref="E69">INDEX(A1:A1000,E58,1)</f>
        <v>1.8</v>
      </c>
      <c r="F69" s="149" cm="1">
        <f t="array" ref="F69">INDEX(A1:A1000,F58,1)</f>
        <v>2.1</v>
      </c>
      <c r="G69" s="149" cm="1">
        <f t="array" ref="G69">INDEX(A1:A1000,G58,1)</f>
        <v>1.7</v>
      </c>
      <c r="H69" s="149" cm="1">
        <f t="array" ref="H69">INDEX(A1:A1000,H58,1)</f>
        <v>2</v>
      </c>
      <c r="I69" s="149" cm="1">
        <f t="array" ref="I69">INDEX(A1:A1000,I58,1)</f>
        <v>3.8000000000000003</v>
      </c>
      <c r="J69" s="149" cm="1">
        <f t="array" ref="J69">INDEX(A1:A1000,J58,1)</f>
        <v>4.8</v>
      </c>
      <c r="K69" s="149" cm="1">
        <f t="array" ref="K69">INDEX(A1:A1000,K58,1)</f>
        <v>2.9000000000000004</v>
      </c>
      <c r="L69" s="149" cm="1">
        <f t="array" ref="L69">INDEX(A1:A1000,L58,1)</f>
        <v>1.5</v>
      </c>
      <c r="M69" s="149" cm="1">
        <f t="array" ref="M69">INDEX(A1:A1000,M58,1)</f>
        <v>4.7</v>
      </c>
      <c r="N69" s="127">
        <f t="shared" si="19"/>
        <v>2.7500000000000004</v>
      </c>
      <c r="O69" s="127">
        <f t="shared" si="12"/>
        <v>1.5538888888888873</v>
      </c>
      <c r="P69" s="127">
        <f t="shared" si="13"/>
        <v>1.246550796754343</v>
      </c>
      <c r="Q69" s="128">
        <f>P69/N69</f>
        <v>0.45329119881976099</v>
      </c>
      <c r="R69" s="61">
        <f t="shared" si="21"/>
        <v>0.39419397368413522</v>
      </c>
      <c r="S69" s="126">
        <f t="shared" si="14"/>
        <v>1.5</v>
      </c>
      <c r="T69" s="126">
        <f t="shared" si="15"/>
        <v>1.85</v>
      </c>
      <c r="U69" s="126">
        <f t="shared" si="16"/>
        <v>2.1500000000000004</v>
      </c>
      <c r="V69" s="126">
        <f t="shared" si="17"/>
        <v>3.5750000000000002</v>
      </c>
      <c r="W69" s="126">
        <f t="shared" si="18"/>
        <v>4.8</v>
      </c>
      <c r="AA69" s="154">
        <v>0.6</v>
      </c>
    </row>
    <row r="70" spans="1:27" ht="15.75" x14ac:dyDescent="0.25">
      <c r="A70" s="145">
        <v>2.2000000000000002</v>
      </c>
      <c r="C70" s="51" t="s">
        <v>101</v>
      </c>
      <c r="D70" s="149" cm="1">
        <f t="array" ref="D70">INDEX(A1:A1000,D59)</f>
        <v>4.5</v>
      </c>
      <c r="E70" s="149" cm="1">
        <f t="array" ref="E70">INDEX(A1:A1000,E59,1)</f>
        <v>4.2</v>
      </c>
      <c r="F70" s="149" cm="1">
        <f t="array" ref="F70">INDEX(A1:A1000,F59,1)</f>
        <v>4.2</v>
      </c>
      <c r="G70" s="149" cm="1">
        <f t="array" ref="G70">INDEX(A1:A1000,G59,1)</f>
        <v>3.9000000000000004</v>
      </c>
      <c r="H70" s="149" cm="1">
        <f t="array" ref="H70">INDEX(A1:A1000,H59,1)</f>
        <v>3.4000000000000004</v>
      </c>
      <c r="I70" s="149" cm="1">
        <f t="array" ref="I70">INDEX(A1:A1000,I59,1)</f>
        <v>0.89999999999999991</v>
      </c>
      <c r="J70" s="149" cm="1">
        <f t="array" ref="J70">INDEX(A1:A1000,J59,1)</f>
        <v>1.5999999999999999</v>
      </c>
      <c r="K70" s="149" cm="1">
        <f t="array" ref="K70">INDEX(A1:A1000,K59,1)</f>
        <v>3.2</v>
      </c>
      <c r="L70" s="149" cm="1">
        <f t="array" ref="L70">INDEX(A1:A1000,L59,1)</f>
        <v>3.9000000000000004</v>
      </c>
      <c r="M70" s="149" cm="1">
        <f t="array" ref="M70">INDEX(A1:A1000,M59,1)</f>
        <v>0.89999999999999991</v>
      </c>
      <c r="N70" s="127">
        <f t="shared" si="19"/>
        <v>3.0699999999999994</v>
      </c>
      <c r="O70" s="127">
        <f t="shared" si="12"/>
        <v>1.9645555555555616</v>
      </c>
      <c r="P70" s="127">
        <f t="shared" si="13"/>
        <v>1.4016260398392866</v>
      </c>
      <c r="Q70" s="128">
        <f>P70/N70</f>
        <v>0.45655571330269928</v>
      </c>
      <c r="R70" s="61">
        <f>P70/(SQRT(COUNT(D70:M70)))</f>
        <v>0.44323307136940504</v>
      </c>
      <c r="S70" s="126">
        <f t="shared" si="14"/>
        <v>0.89999999999999991</v>
      </c>
      <c r="T70" s="126">
        <f t="shared" si="15"/>
        <v>2</v>
      </c>
      <c r="U70" s="126">
        <f t="shared" si="16"/>
        <v>3.6500000000000004</v>
      </c>
      <c r="V70" s="126">
        <f>PERCENTILE(D70:M70, 0.75)</f>
        <v>4.125</v>
      </c>
      <c r="W70" s="126">
        <f t="shared" si="18"/>
        <v>4.5</v>
      </c>
      <c r="AA70" s="154">
        <v>2.1</v>
      </c>
    </row>
    <row r="71" spans="1:27" ht="15.75" x14ac:dyDescent="0.25">
      <c r="A71" s="145">
        <v>4.2</v>
      </c>
      <c r="C71" s="38" t="s">
        <v>88</v>
      </c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63">
        <f>AVERAGE(N64:N70)</f>
        <v>2.6814285714285715</v>
      </c>
      <c r="U71" s="14"/>
      <c r="V71" s="14"/>
      <c r="AA71" s="154">
        <v>3</v>
      </c>
    </row>
    <row r="72" spans="1:27" ht="15.75" x14ac:dyDescent="0.25">
      <c r="A72" s="145">
        <v>5.1000000000000005</v>
      </c>
      <c r="C72" s="38" t="s">
        <v>89</v>
      </c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61">
        <f>_xlfn.STDEV.S(N64:N70)</f>
        <v>0.28386784316113067</v>
      </c>
      <c r="O72" s="80"/>
      <c r="P72" s="80"/>
      <c r="Q72" s="80"/>
      <c r="R72" s="14"/>
      <c r="S72" s="80"/>
      <c r="T72" s="80"/>
      <c r="U72" s="14"/>
      <c r="V72" s="14"/>
      <c r="AA72" s="154">
        <v>1.2</v>
      </c>
    </row>
    <row r="73" spans="1:27" ht="15.75" x14ac:dyDescent="0.25">
      <c r="A73" s="145">
        <v>2.3000000000000003</v>
      </c>
      <c r="C73" s="14"/>
      <c r="D73" s="14"/>
      <c r="E73" s="14"/>
      <c r="F73" s="14"/>
      <c r="G73" s="14"/>
      <c r="H73" s="14"/>
      <c r="I73" s="14"/>
      <c r="J73" s="14"/>
      <c r="K73" s="14"/>
      <c r="M73" s="14"/>
      <c r="N73" s="14" t="s">
        <v>23</v>
      </c>
      <c r="O73" s="56"/>
      <c r="P73" s="14"/>
      <c r="Q73" s="14"/>
      <c r="R73" s="14"/>
      <c r="S73" s="14"/>
      <c r="T73" s="14"/>
      <c r="U73" s="14"/>
      <c r="V73" s="14"/>
      <c r="AA73" s="154">
        <v>2.5</v>
      </c>
    </row>
    <row r="74" spans="1:27" ht="15.75" x14ac:dyDescent="0.25">
      <c r="A74" s="145">
        <v>4.5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AA74" s="154">
        <v>1.7</v>
      </c>
    </row>
    <row r="75" spans="1:27" ht="15.75" x14ac:dyDescent="0.25">
      <c r="A75" s="145">
        <v>2.4000000000000004</v>
      </c>
      <c r="C75" s="14"/>
      <c r="D75" s="24" t="s">
        <v>102</v>
      </c>
      <c r="E75" s="2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AA75" s="154">
        <v>4.5</v>
      </c>
    </row>
    <row r="76" spans="1:27" ht="15.75" x14ac:dyDescent="0.25">
      <c r="A76" s="145">
        <v>4.4000000000000004</v>
      </c>
      <c r="C76" s="53"/>
      <c r="D76" s="51">
        <v>1</v>
      </c>
      <c r="E76" s="51">
        <v>2</v>
      </c>
      <c r="F76" s="51">
        <v>3</v>
      </c>
      <c r="G76" s="51">
        <v>4</v>
      </c>
      <c r="H76" s="51">
        <v>5</v>
      </c>
      <c r="I76" s="51">
        <v>6</v>
      </c>
      <c r="J76" s="51">
        <v>7</v>
      </c>
      <c r="K76" s="51">
        <v>8</v>
      </c>
      <c r="L76" s="51">
        <v>9</v>
      </c>
      <c r="M76" s="51">
        <v>10</v>
      </c>
      <c r="N76" s="52" t="s">
        <v>17</v>
      </c>
      <c r="O76" s="52" t="s">
        <v>18</v>
      </c>
      <c r="P76" s="52" t="s">
        <v>19</v>
      </c>
      <c r="Q76" s="52" t="s">
        <v>20</v>
      </c>
      <c r="R76" s="64" t="s">
        <v>21</v>
      </c>
      <c r="T76" s="30" t="s">
        <v>55</v>
      </c>
      <c r="U76" s="29" t="s">
        <v>56</v>
      </c>
      <c r="V76" s="25" t="s">
        <v>57</v>
      </c>
      <c r="AA76" s="154">
        <v>2.9</v>
      </c>
    </row>
    <row r="77" spans="1:27" ht="15.75" x14ac:dyDescent="0.25">
      <c r="A77" s="145">
        <v>4.8</v>
      </c>
      <c r="C77" s="54"/>
      <c r="D77" s="54"/>
      <c r="E77" s="54"/>
      <c r="F77" s="54"/>
      <c r="G77" s="54"/>
      <c r="H77" s="54"/>
      <c r="I77" s="54"/>
      <c r="J77" s="44"/>
      <c r="K77" s="44"/>
      <c r="L77" s="44"/>
      <c r="M77" s="45"/>
      <c r="N77" s="55"/>
      <c r="O77" s="55"/>
      <c r="P77" s="55"/>
      <c r="Q77" s="55"/>
      <c r="R77" s="57"/>
      <c r="T77" s="38" t="s">
        <v>58</v>
      </c>
      <c r="U77" s="60">
        <f>PERCENTILE(D78:M91, 0)</f>
        <v>0.30000000000000004</v>
      </c>
      <c r="V77" s="26">
        <v>0</v>
      </c>
      <c r="AA77" s="154">
        <v>4.4000000000000004</v>
      </c>
    </row>
    <row r="78" spans="1:27" ht="15.75" x14ac:dyDescent="0.25">
      <c r="A78" s="145">
        <v>2.1</v>
      </c>
      <c r="C78" s="51" t="s">
        <v>13</v>
      </c>
      <c r="D78" s="149" cm="1">
        <f t="array" ref="D78">INDEX(A1:A1000,D53)</f>
        <v>3.4000000000000004</v>
      </c>
      <c r="E78" s="149">
        <v>1</v>
      </c>
      <c r="F78" s="149">
        <v>1.5</v>
      </c>
      <c r="G78" s="149">
        <v>2</v>
      </c>
      <c r="H78" s="149">
        <v>2.3000000000000003</v>
      </c>
      <c r="I78" s="149">
        <v>2.8000000000000003</v>
      </c>
      <c r="J78" s="149">
        <v>3.2</v>
      </c>
      <c r="K78" s="149">
        <v>3.7</v>
      </c>
      <c r="L78" s="149">
        <v>4.2</v>
      </c>
      <c r="M78" s="149">
        <v>4.8</v>
      </c>
      <c r="N78" s="62">
        <f>AVERAGE(D78:M91)</f>
        <v>2.7992857142857153</v>
      </c>
      <c r="O78" s="63">
        <f>_xlfn.VAR.S(D78:M91)</f>
        <v>2.0382009249743001</v>
      </c>
      <c r="P78" s="60">
        <f>_xlfn.STDEV.S(D78:M91)</f>
        <v>1.427655744559696</v>
      </c>
      <c r="Q78" s="119">
        <f>P78/N78</f>
        <v>0.51000715549466025</v>
      </c>
      <c r="R78" s="65">
        <f>P78/SQRT(140)</f>
        <v>0.12065893268022353</v>
      </c>
      <c r="T78" s="38" t="s">
        <v>68</v>
      </c>
      <c r="U78" s="60">
        <f>PERCENTILE(D78:M91, 0.1)</f>
        <v>0.99</v>
      </c>
      <c r="V78" s="27">
        <v>0.1</v>
      </c>
      <c r="AA78" s="154">
        <v>1.9</v>
      </c>
    </row>
    <row r="79" spans="1:27" ht="15.75" x14ac:dyDescent="0.25">
      <c r="A79" s="145">
        <v>4.7</v>
      </c>
      <c r="C79" s="51" t="s">
        <v>14</v>
      </c>
      <c r="D79" s="149" cm="1">
        <f t="array" ref="D79">INDEX(A1:A1000,D54)</f>
        <v>3.3000000000000003</v>
      </c>
      <c r="E79" s="149">
        <v>1</v>
      </c>
      <c r="F79" s="149">
        <v>1.5999999999999999</v>
      </c>
      <c r="G79" s="149">
        <v>2</v>
      </c>
      <c r="H79" s="149">
        <v>2.3000000000000003</v>
      </c>
      <c r="I79" s="149">
        <v>2.8000000000000003</v>
      </c>
      <c r="J79" s="149">
        <v>3.3000000000000003</v>
      </c>
      <c r="K79" s="149">
        <v>3.8000000000000003</v>
      </c>
      <c r="L79" s="149">
        <v>4.2</v>
      </c>
      <c r="M79" s="149">
        <v>4.9000000000000004</v>
      </c>
      <c r="N79" s="14"/>
      <c r="O79" s="14"/>
      <c r="P79" s="14"/>
      <c r="Q79" s="14"/>
      <c r="R79" s="14"/>
      <c r="T79" s="38" t="s">
        <v>66</v>
      </c>
      <c r="U79" s="60">
        <f>PERCENTILE(D78:M91, 0.25)</f>
        <v>1.5999999999999999</v>
      </c>
      <c r="V79" s="27">
        <v>0.25</v>
      </c>
      <c r="AA79" s="154">
        <v>3</v>
      </c>
    </row>
    <row r="80" spans="1:27" ht="15.75" x14ac:dyDescent="0.25">
      <c r="A80" s="145">
        <v>2.8000000000000003</v>
      </c>
      <c r="C80" s="51" t="s">
        <v>15</v>
      </c>
      <c r="D80" s="149" cm="1">
        <f t="array" ref="D80">INDEX(A1:A1000,D55)</f>
        <v>0.89999999999999991</v>
      </c>
      <c r="E80" s="149">
        <v>1.1000000000000001</v>
      </c>
      <c r="F80" s="149">
        <v>1.5999999999999999</v>
      </c>
      <c r="G80" s="149">
        <v>2</v>
      </c>
      <c r="H80" s="149">
        <v>2.4000000000000004</v>
      </c>
      <c r="I80" s="149">
        <v>2.9000000000000004</v>
      </c>
      <c r="J80" s="149">
        <v>3.3000000000000003</v>
      </c>
      <c r="K80" s="149">
        <v>3.8000000000000003</v>
      </c>
      <c r="L80" s="149">
        <v>4.3</v>
      </c>
      <c r="M80" s="149">
        <v>5.1000000000000005</v>
      </c>
      <c r="N80" s="14"/>
      <c r="O80" s="14"/>
      <c r="P80" s="14"/>
      <c r="Q80" s="14"/>
      <c r="R80" s="14"/>
      <c r="T80" s="38" t="s">
        <v>26</v>
      </c>
      <c r="U80" s="60">
        <f>PERCENTILE(D78:M91,0.5)</f>
        <v>2.8500000000000005</v>
      </c>
      <c r="V80" s="27">
        <v>0.5</v>
      </c>
      <c r="AA80" s="154">
        <v>4.5</v>
      </c>
    </row>
    <row r="81" spans="1:27" ht="15.75" x14ac:dyDescent="0.25">
      <c r="A81" s="145">
        <v>2</v>
      </c>
      <c r="C81" s="51" t="s">
        <v>16</v>
      </c>
      <c r="D81" s="149">
        <v>0.5</v>
      </c>
      <c r="E81" s="149">
        <v>1.1000000000000001</v>
      </c>
      <c r="F81" s="149">
        <v>1.5999999999999999</v>
      </c>
      <c r="G81" s="149">
        <v>2.1</v>
      </c>
      <c r="H81" s="149">
        <v>2.5</v>
      </c>
      <c r="I81" s="149">
        <v>3</v>
      </c>
      <c r="J81" s="149">
        <v>3.4000000000000004</v>
      </c>
      <c r="K81" s="149">
        <v>3.8000000000000003</v>
      </c>
      <c r="L81" s="149">
        <v>4.4000000000000004</v>
      </c>
      <c r="M81" s="149">
        <v>5.3</v>
      </c>
      <c r="N81" s="14"/>
      <c r="O81" s="14"/>
      <c r="P81" s="14"/>
      <c r="Q81" s="14"/>
      <c r="R81" s="14"/>
      <c r="T81" s="38" t="s">
        <v>137</v>
      </c>
      <c r="U81" s="60">
        <f>PERCENTILE(D78:M91, 0.75)</f>
        <v>3.8000000000000003</v>
      </c>
      <c r="V81" s="27">
        <v>0.75</v>
      </c>
      <c r="AA81" s="154">
        <v>0.7</v>
      </c>
    </row>
    <row r="82" spans="1:27" ht="15.75" x14ac:dyDescent="0.25">
      <c r="A82" s="145">
        <v>2.1</v>
      </c>
      <c r="C82" s="51" t="s">
        <v>35</v>
      </c>
      <c r="D82" s="149">
        <v>0.60000000000000009</v>
      </c>
      <c r="E82" s="149">
        <v>1.2</v>
      </c>
      <c r="F82" s="149">
        <v>1.7</v>
      </c>
      <c r="G82" s="149">
        <v>2.1</v>
      </c>
      <c r="H82" s="149">
        <v>2.5</v>
      </c>
      <c r="I82" s="149">
        <v>3</v>
      </c>
      <c r="J82" s="149">
        <v>3.4000000000000004</v>
      </c>
      <c r="K82" s="149">
        <v>3.9000000000000004</v>
      </c>
      <c r="L82" s="149">
        <v>4.5</v>
      </c>
      <c r="M82" s="149">
        <v>5.4</v>
      </c>
      <c r="N82" s="14"/>
      <c r="O82" s="14"/>
      <c r="P82" s="14"/>
      <c r="Q82" s="14"/>
      <c r="R82" s="14"/>
      <c r="T82" s="38" t="s">
        <v>69</v>
      </c>
      <c r="U82" s="60">
        <f>PERCENTILE(D78:M91, 0.9)</f>
        <v>4.8</v>
      </c>
      <c r="V82" s="27">
        <v>0.9</v>
      </c>
      <c r="AA82" s="154">
        <v>1</v>
      </c>
    </row>
    <row r="83" spans="1:27" ht="15.75" x14ac:dyDescent="0.25">
      <c r="A83" s="145">
        <v>3.8000000000000003</v>
      </c>
      <c r="C83" s="51" t="s">
        <v>36</v>
      </c>
      <c r="D83" s="149">
        <v>0.7</v>
      </c>
      <c r="E83" s="149">
        <v>1.3</v>
      </c>
      <c r="F83" s="149">
        <v>1.7</v>
      </c>
      <c r="G83" s="149">
        <v>2.2000000000000002</v>
      </c>
      <c r="H83" s="149">
        <v>2.6</v>
      </c>
      <c r="I83" s="149">
        <v>3</v>
      </c>
      <c r="J83" s="149">
        <v>3.5</v>
      </c>
      <c r="K83" s="149">
        <v>4</v>
      </c>
      <c r="L83" s="149">
        <v>4.5</v>
      </c>
      <c r="M83" s="149">
        <v>5.6000000000000005</v>
      </c>
      <c r="N83" s="14"/>
      <c r="O83" s="14"/>
      <c r="P83" s="14"/>
      <c r="Q83" s="14"/>
      <c r="R83" s="14"/>
      <c r="T83" s="38" t="s">
        <v>59</v>
      </c>
      <c r="U83" s="60">
        <f>PERCENTILE(D78:M91, 1)</f>
        <v>5.6000000000000005</v>
      </c>
      <c r="V83" s="28">
        <v>1</v>
      </c>
      <c r="AA83" s="154">
        <v>1.1000000000000001</v>
      </c>
    </row>
    <row r="84" spans="1:27" ht="15.75" x14ac:dyDescent="0.25">
      <c r="A84" s="145">
        <v>3.3000000000000003</v>
      </c>
      <c r="C84" s="51" t="s">
        <v>37</v>
      </c>
      <c r="D84" s="149">
        <v>0.8</v>
      </c>
      <c r="E84" s="149">
        <v>1.3</v>
      </c>
      <c r="F84" s="149">
        <v>1.8</v>
      </c>
      <c r="G84" s="149">
        <v>2.2000000000000002</v>
      </c>
      <c r="H84" s="149">
        <v>2.6</v>
      </c>
      <c r="I84" s="149">
        <v>3.1</v>
      </c>
      <c r="J84" s="149">
        <v>3.5</v>
      </c>
      <c r="K84" s="149">
        <v>4</v>
      </c>
      <c r="L84" s="149">
        <v>4.6000000000000005</v>
      </c>
      <c r="M84" s="149">
        <v>5.6000000000000005</v>
      </c>
      <c r="N84" s="14"/>
      <c r="O84" s="14"/>
      <c r="P84" s="14"/>
      <c r="Q84" s="14"/>
      <c r="R84" s="14"/>
      <c r="T84" s="80"/>
      <c r="U84" s="80"/>
      <c r="V84" s="14"/>
      <c r="W84" s="80"/>
      <c r="AA84" s="154">
        <v>4.2</v>
      </c>
    </row>
    <row r="85" spans="1:27" ht="15.75" x14ac:dyDescent="0.25">
      <c r="A85" s="145">
        <v>5.3</v>
      </c>
      <c r="C85" s="51" t="s">
        <v>24</v>
      </c>
      <c r="D85" s="151" cm="1">
        <f t="array" ref="D85">INDEX(A1:A1000,D28)</f>
        <v>2.9000000000000004</v>
      </c>
      <c r="E85" s="151">
        <f>E39</f>
        <v>0.4</v>
      </c>
      <c r="F85" s="151">
        <f>F39</f>
        <v>5.6000000000000005</v>
      </c>
      <c r="G85" s="151">
        <f t="shared" ref="G85:M85" si="22">G39</f>
        <v>3.2</v>
      </c>
      <c r="H85" s="151">
        <f t="shared" si="22"/>
        <v>1.4</v>
      </c>
      <c r="I85" s="151">
        <f t="shared" si="22"/>
        <v>3.5</v>
      </c>
      <c r="J85" s="151">
        <f t="shared" si="22"/>
        <v>0.7</v>
      </c>
      <c r="K85" s="151">
        <f t="shared" si="22"/>
        <v>1.4</v>
      </c>
      <c r="L85" s="151">
        <f t="shared" si="22"/>
        <v>4.6000000000000005</v>
      </c>
      <c r="M85" s="151">
        <f t="shared" si="22"/>
        <v>5.2</v>
      </c>
      <c r="N85" s="14"/>
      <c r="O85" s="14"/>
      <c r="P85" s="14"/>
      <c r="Q85" s="14"/>
      <c r="R85" s="14"/>
      <c r="S85" s="14"/>
      <c r="T85" s="80"/>
      <c r="U85" s="80"/>
      <c r="V85" s="14"/>
      <c r="W85" s="80"/>
      <c r="AA85" s="154">
        <v>3.6</v>
      </c>
    </row>
    <row r="86" spans="1:27" ht="15.75" x14ac:dyDescent="0.25">
      <c r="A86" s="145">
        <v>0.5</v>
      </c>
      <c r="C86" s="51" t="s">
        <v>96</v>
      </c>
      <c r="D86" s="151" cm="1">
        <f t="array" ref="D86">INDEX(A1:A1000,D29)</f>
        <v>2.2000000000000002</v>
      </c>
      <c r="E86" s="151">
        <f t="shared" ref="E86:M91" si="23">E40</f>
        <v>3.6</v>
      </c>
      <c r="F86" s="151">
        <f t="shared" si="23"/>
        <v>1.9</v>
      </c>
      <c r="G86" s="151">
        <f t="shared" si="23"/>
        <v>2.6</v>
      </c>
      <c r="H86" s="151">
        <f t="shared" si="23"/>
        <v>3</v>
      </c>
      <c r="I86" s="151">
        <f t="shared" si="23"/>
        <v>2.8000000000000003</v>
      </c>
      <c r="J86" s="151">
        <f t="shared" si="23"/>
        <v>5.6000000000000005</v>
      </c>
      <c r="K86" s="151">
        <f t="shared" si="23"/>
        <v>3.8000000000000003</v>
      </c>
      <c r="L86" s="151">
        <f t="shared" si="23"/>
        <v>4.0999999999999996</v>
      </c>
      <c r="M86" s="151">
        <f t="shared" si="23"/>
        <v>3.5</v>
      </c>
      <c r="N86" s="14"/>
      <c r="O86" s="14"/>
      <c r="P86" s="14"/>
      <c r="Q86" s="14"/>
      <c r="R86" s="14"/>
      <c r="S86" s="14"/>
      <c r="T86" s="113" t="s">
        <v>111</v>
      </c>
      <c r="U86" s="14"/>
      <c r="V86" s="14"/>
      <c r="W86" s="80"/>
      <c r="AA86" s="154">
        <v>4.3</v>
      </c>
    </row>
    <row r="87" spans="1:27" ht="15.75" x14ac:dyDescent="0.25">
      <c r="A87" s="145">
        <v>4.7</v>
      </c>
      <c r="C87" s="51" t="s">
        <v>97</v>
      </c>
      <c r="D87" s="151" cm="1">
        <f t="array" ref="D87">INDEX(A1:A1000,D30)</f>
        <v>3.3000000000000003</v>
      </c>
      <c r="E87" s="151">
        <f t="shared" si="23"/>
        <v>4.6000000000000005</v>
      </c>
      <c r="F87" s="151">
        <f t="shared" si="23"/>
        <v>0.4</v>
      </c>
      <c r="G87" s="151">
        <f t="shared" si="23"/>
        <v>4</v>
      </c>
      <c r="H87" s="151">
        <f t="shared" si="23"/>
        <v>4.8</v>
      </c>
      <c r="I87" s="151">
        <f t="shared" si="23"/>
        <v>3.5</v>
      </c>
      <c r="J87" s="151">
        <f t="shared" si="23"/>
        <v>1.5999999999999999</v>
      </c>
      <c r="K87" s="151">
        <f t="shared" si="23"/>
        <v>4.5</v>
      </c>
      <c r="L87" s="151">
        <f t="shared" si="23"/>
        <v>2</v>
      </c>
      <c r="M87" s="151">
        <f t="shared" si="23"/>
        <v>4.9000000000000004</v>
      </c>
      <c r="N87" s="14"/>
      <c r="O87" s="14"/>
      <c r="P87" s="14"/>
      <c r="Q87" s="14"/>
      <c r="R87" s="14"/>
      <c r="S87" s="14"/>
      <c r="T87" s="14"/>
      <c r="U87" s="14"/>
      <c r="V87" s="14"/>
      <c r="W87" s="80"/>
      <c r="AA87" s="154">
        <v>3.7</v>
      </c>
    </row>
    <row r="88" spans="1:27" ht="15.75" x14ac:dyDescent="0.25">
      <c r="A88" s="145">
        <v>3.4000000000000004</v>
      </c>
      <c r="C88" s="51" t="s">
        <v>98</v>
      </c>
      <c r="D88" s="152" cm="1">
        <f t="array" ref="D88">INDEX(A1:A1000,D31)</f>
        <v>3.2</v>
      </c>
      <c r="E88" s="151">
        <f t="shared" si="23"/>
        <v>1.1000000000000001</v>
      </c>
      <c r="F88" s="151">
        <f t="shared" si="23"/>
        <v>1.8</v>
      </c>
      <c r="G88" s="151">
        <f t="shared" si="23"/>
        <v>1.5</v>
      </c>
      <c r="H88" s="151">
        <f t="shared" si="23"/>
        <v>1.5999999999999999</v>
      </c>
      <c r="I88" s="151">
        <f t="shared" si="23"/>
        <v>1.5</v>
      </c>
      <c r="J88" s="151">
        <f t="shared" si="23"/>
        <v>4.8</v>
      </c>
      <c r="K88" s="151">
        <f t="shared" si="23"/>
        <v>3.8000000000000003</v>
      </c>
      <c r="L88" s="151">
        <f t="shared" si="23"/>
        <v>3</v>
      </c>
      <c r="M88" s="151">
        <f t="shared" si="23"/>
        <v>1.8</v>
      </c>
      <c r="T88" s="14"/>
      <c r="U88" s="14"/>
      <c r="V88" s="14"/>
      <c r="W88" s="80"/>
      <c r="AA88" s="154">
        <v>2.5</v>
      </c>
    </row>
    <row r="89" spans="1:27" ht="15.75" x14ac:dyDescent="0.25">
      <c r="A89" s="145">
        <v>2.5</v>
      </c>
      <c r="C89" s="51" t="s">
        <v>99</v>
      </c>
      <c r="D89" s="152" cm="1">
        <f t="array" ref="D89">INDEX(A1:A1000,D32)</f>
        <v>1.9</v>
      </c>
      <c r="E89" s="151">
        <f t="shared" si="23"/>
        <v>4.7</v>
      </c>
      <c r="F89" s="151">
        <f t="shared" si="23"/>
        <v>2.5</v>
      </c>
      <c r="G89" s="151">
        <f t="shared" si="23"/>
        <v>0.4</v>
      </c>
      <c r="H89" s="151">
        <f t="shared" si="23"/>
        <v>0.8</v>
      </c>
      <c r="I89" s="151">
        <f t="shared" si="23"/>
        <v>1</v>
      </c>
      <c r="J89" s="151">
        <f t="shared" si="23"/>
        <v>1.8</v>
      </c>
      <c r="K89" s="151">
        <f t="shared" si="23"/>
        <v>3.6</v>
      </c>
      <c r="L89" s="151">
        <f t="shared" si="23"/>
        <v>0.60000000000000009</v>
      </c>
      <c r="M89" s="151">
        <f t="shared" si="23"/>
        <v>5.2</v>
      </c>
      <c r="T89" s="14"/>
      <c r="U89" s="14"/>
      <c r="V89" s="14"/>
      <c r="W89" s="80"/>
      <c r="AA89" s="154">
        <v>1.4</v>
      </c>
    </row>
    <row r="90" spans="1:27" ht="15.75" x14ac:dyDescent="0.25">
      <c r="A90" s="145">
        <v>0.7</v>
      </c>
      <c r="C90" s="51" t="s">
        <v>100</v>
      </c>
      <c r="D90" s="152" cm="1">
        <f t="array" ref="D90">INDEX(A1:A1000,D33)</f>
        <v>1.5999999999999999</v>
      </c>
      <c r="E90" s="151">
        <f t="shared" si="23"/>
        <v>3.8000000000000003</v>
      </c>
      <c r="F90" s="151">
        <f t="shared" si="23"/>
        <v>1.3</v>
      </c>
      <c r="G90" s="151">
        <f t="shared" si="23"/>
        <v>1.5999999999999999</v>
      </c>
      <c r="H90" s="151">
        <f t="shared" si="23"/>
        <v>3.3000000000000003</v>
      </c>
      <c r="I90" s="151">
        <f t="shared" si="23"/>
        <v>3.3000000000000003</v>
      </c>
      <c r="J90" s="151">
        <f t="shared" si="23"/>
        <v>4.9000000000000004</v>
      </c>
      <c r="K90" s="151">
        <f t="shared" si="23"/>
        <v>3.1</v>
      </c>
      <c r="L90" s="151">
        <f t="shared" si="23"/>
        <v>0.8</v>
      </c>
      <c r="M90" s="151">
        <f t="shared" si="23"/>
        <v>1</v>
      </c>
      <c r="T90" s="14"/>
      <c r="U90" s="14"/>
      <c r="V90" s="14"/>
      <c r="W90" s="80"/>
      <c r="AA90" s="154">
        <v>1</v>
      </c>
    </row>
    <row r="91" spans="1:27" ht="15.75" x14ac:dyDescent="0.25">
      <c r="A91" s="145">
        <v>4.5</v>
      </c>
      <c r="C91" s="51" t="s">
        <v>101</v>
      </c>
      <c r="D91" s="152" cm="1">
        <f t="array" ref="D91">INDEX(A1:A1000,D34)</f>
        <v>1.5999999999999999</v>
      </c>
      <c r="E91" s="151">
        <f t="shared" si="23"/>
        <v>1.4</v>
      </c>
      <c r="F91" s="151">
        <f t="shared" si="23"/>
        <v>4.8</v>
      </c>
      <c r="G91" s="151">
        <f t="shared" si="23"/>
        <v>3.8000000000000003</v>
      </c>
      <c r="H91" s="151">
        <f t="shared" si="23"/>
        <v>4</v>
      </c>
      <c r="I91" s="151">
        <f t="shared" si="23"/>
        <v>0.89999999999999991</v>
      </c>
      <c r="J91" s="151">
        <f t="shared" si="23"/>
        <v>4.2</v>
      </c>
      <c r="K91" s="151">
        <f t="shared" si="23"/>
        <v>2.8000000000000003</v>
      </c>
      <c r="L91" s="151">
        <f t="shared" si="23"/>
        <v>0.30000000000000004</v>
      </c>
      <c r="M91" s="151">
        <f t="shared" si="23"/>
        <v>1.1000000000000001</v>
      </c>
      <c r="T91" s="14"/>
      <c r="U91" s="14"/>
      <c r="V91" s="14"/>
      <c r="W91" s="80"/>
      <c r="AA91" s="154">
        <v>5.0999999999999996</v>
      </c>
    </row>
    <row r="92" spans="1:27" ht="15.75" x14ac:dyDescent="0.25">
      <c r="A92" s="145">
        <v>1.4</v>
      </c>
      <c r="T92" s="14"/>
      <c r="U92" s="14"/>
      <c r="V92" s="14"/>
      <c r="W92" s="80"/>
      <c r="AA92" s="154">
        <v>1.5</v>
      </c>
    </row>
    <row r="93" spans="1:27" ht="15.75" x14ac:dyDescent="0.25">
      <c r="A93" s="145">
        <v>2.4000000000000004</v>
      </c>
      <c r="T93" s="14"/>
      <c r="U93" s="14"/>
      <c r="V93" s="14"/>
      <c r="W93" s="80"/>
      <c r="AA93" s="154">
        <v>2</v>
      </c>
    </row>
    <row r="94" spans="1:27" ht="15.75" x14ac:dyDescent="0.25">
      <c r="A94" s="145">
        <v>0.89999999999999991</v>
      </c>
      <c r="T94" s="14"/>
      <c r="U94" s="14"/>
      <c r="V94" s="14"/>
      <c r="W94" s="80"/>
      <c r="AA94" s="154">
        <v>3.7</v>
      </c>
    </row>
    <row r="95" spans="1:27" ht="15.75" x14ac:dyDescent="0.25">
      <c r="A95" s="145">
        <v>1.4</v>
      </c>
      <c r="T95" s="14"/>
      <c r="U95" s="14"/>
      <c r="V95" s="14"/>
      <c r="W95" s="80"/>
      <c r="AA95" s="154">
        <v>1.6</v>
      </c>
    </row>
    <row r="96" spans="1:27" ht="15.75" x14ac:dyDescent="0.25">
      <c r="A96" s="145">
        <v>2.4000000000000004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80"/>
      <c r="AA96" s="154">
        <v>3.9</v>
      </c>
    </row>
    <row r="97" spans="1:27" ht="15.75" x14ac:dyDescent="0.25">
      <c r="A97" s="145">
        <v>2.8000000000000003</v>
      </c>
      <c r="C97" s="14" t="s">
        <v>70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80"/>
      <c r="AA97" s="154">
        <v>3</v>
      </c>
    </row>
    <row r="98" spans="1:27" ht="15.75" x14ac:dyDescent="0.25">
      <c r="A98" s="145">
        <v>3.8000000000000003</v>
      </c>
      <c r="B98">
        <v>1</v>
      </c>
      <c r="C98" s="185" t="s">
        <v>103</v>
      </c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4"/>
      <c r="S98" s="14"/>
      <c r="T98" s="14" t="s">
        <v>112</v>
      </c>
      <c r="U98" s="14"/>
      <c r="V98" s="14"/>
      <c r="W98" s="80"/>
      <c r="AA98" s="154">
        <v>2.6</v>
      </c>
    </row>
    <row r="99" spans="1:27" ht="15.75" x14ac:dyDescent="0.25">
      <c r="A99" s="145">
        <v>3.4000000000000004</v>
      </c>
      <c r="C99" s="174" t="s">
        <v>147</v>
      </c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4"/>
      <c r="S99" s="14"/>
      <c r="T99" s="14" t="s">
        <v>113</v>
      </c>
      <c r="U99" s="14"/>
      <c r="V99" s="14"/>
      <c r="W99" s="80"/>
      <c r="AA99" s="154">
        <v>4</v>
      </c>
    </row>
    <row r="100" spans="1:27" ht="15.75" x14ac:dyDescent="0.25">
      <c r="A100" s="145">
        <v>4.7</v>
      </c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4"/>
      <c r="S100" s="14"/>
      <c r="T100" s="174" t="s">
        <v>140</v>
      </c>
      <c r="U100" s="174"/>
      <c r="V100" s="174"/>
      <c r="W100" s="174"/>
      <c r="AA100" s="154">
        <v>4.0999999999999996</v>
      </c>
    </row>
    <row r="101" spans="1:27" ht="15.75" x14ac:dyDescent="0.25">
      <c r="A101" s="145">
        <v>2.5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74"/>
      <c r="U101" s="174"/>
      <c r="V101" s="174"/>
      <c r="W101" s="174"/>
      <c r="AA101" s="154">
        <v>1.2</v>
      </c>
    </row>
    <row r="102" spans="1:27" ht="15.75" x14ac:dyDescent="0.25">
      <c r="A102" s="145">
        <v>4.7</v>
      </c>
      <c r="B102">
        <v>2</v>
      </c>
      <c r="C102" s="175" t="s">
        <v>71</v>
      </c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4"/>
      <c r="S102" s="14"/>
      <c r="T102" s="174"/>
      <c r="U102" s="174"/>
      <c r="V102" s="174"/>
      <c r="W102" s="174"/>
      <c r="AA102" s="154">
        <v>3.9</v>
      </c>
    </row>
    <row r="103" spans="1:27" ht="15.75" x14ac:dyDescent="0.25">
      <c r="A103" s="145">
        <v>4</v>
      </c>
      <c r="C103" s="174" t="s">
        <v>139</v>
      </c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4"/>
      <c r="S103" s="14"/>
      <c r="T103" s="174"/>
      <c r="U103" s="174"/>
      <c r="V103" s="174"/>
      <c r="W103" s="174"/>
      <c r="AA103" s="154">
        <v>4.8</v>
      </c>
    </row>
    <row r="104" spans="1:27" ht="15.75" x14ac:dyDescent="0.25">
      <c r="A104" s="145">
        <v>3.8000000000000003</v>
      </c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4"/>
      <c r="S104" s="14"/>
      <c r="T104" s="174"/>
      <c r="U104" s="174"/>
      <c r="V104" s="174"/>
      <c r="W104" s="174"/>
      <c r="AA104" s="154">
        <v>2.4</v>
      </c>
    </row>
    <row r="105" spans="1:27" ht="15.75" x14ac:dyDescent="0.25">
      <c r="A105" s="145">
        <v>0.89999999999999991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AA105" s="154">
        <v>1.7</v>
      </c>
    </row>
    <row r="106" spans="1:27" ht="15.75" x14ac:dyDescent="0.25">
      <c r="A106" s="145">
        <v>2.9000000000000004</v>
      </c>
      <c r="B106">
        <v>3</v>
      </c>
      <c r="C106" s="73" t="s">
        <v>117</v>
      </c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14"/>
      <c r="S106" s="14"/>
      <c r="T106" s="14"/>
      <c r="U106" s="14"/>
      <c r="V106" s="14"/>
      <c r="AA106" s="154">
        <v>2.7</v>
      </c>
    </row>
    <row r="107" spans="1:27" ht="15.75" x14ac:dyDescent="0.25">
      <c r="A107" s="145">
        <v>3.2</v>
      </c>
      <c r="C107" s="114" t="s">
        <v>120</v>
      </c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14"/>
      <c r="S107" s="14"/>
      <c r="T107" s="14"/>
      <c r="U107" s="14"/>
      <c r="V107" s="14"/>
      <c r="AA107" s="154">
        <v>1.6</v>
      </c>
    </row>
    <row r="108" spans="1:27" ht="15.75" x14ac:dyDescent="0.25">
      <c r="A108" s="145">
        <v>2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4"/>
      <c r="R108" s="144"/>
      <c r="S108" s="144"/>
      <c r="T108" s="144"/>
      <c r="U108" s="144"/>
      <c r="V108" s="144"/>
      <c r="AA108" s="154">
        <v>5.2</v>
      </c>
    </row>
    <row r="109" spans="1:27" ht="15.75" x14ac:dyDescent="0.25">
      <c r="A109" s="145">
        <v>3.1</v>
      </c>
      <c r="C109" s="14"/>
      <c r="D109" s="14"/>
      <c r="E109" s="48" t="s">
        <v>25</v>
      </c>
      <c r="F109" s="48" t="s">
        <v>73</v>
      </c>
      <c r="G109" s="48" t="s">
        <v>74</v>
      </c>
      <c r="H109" s="48" t="s">
        <v>26</v>
      </c>
      <c r="I109" s="48" t="s">
        <v>75</v>
      </c>
      <c r="J109" s="48" t="s">
        <v>76</v>
      </c>
      <c r="K109" s="48" t="s">
        <v>77</v>
      </c>
      <c r="L109" s="48" t="s">
        <v>78</v>
      </c>
      <c r="M109" s="14" t="s">
        <v>138</v>
      </c>
      <c r="Q109" s="12"/>
      <c r="R109" s="97"/>
      <c r="S109" s="97"/>
      <c r="T109" s="97"/>
      <c r="U109" s="97"/>
      <c r="V109" s="144"/>
      <c r="AA109" s="154">
        <v>1.1000000000000001</v>
      </c>
    </row>
    <row r="110" spans="1:27" ht="15.75" x14ac:dyDescent="0.25">
      <c r="A110" s="145">
        <v>2.3000000000000003</v>
      </c>
      <c r="C110" s="11"/>
      <c r="D110" s="68" t="s">
        <v>72</v>
      </c>
      <c r="E110" s="69">
        <f>L9</f>
        <v>2.8290000000000028</v>
      </c>
      <c r="F110" s="69">
        <f>L11</f>
        <v>1.4587827278409304</v>
      </c>
      <c r="G110" s="70">
        <f>L12</f>
        <v>0.51565313815515335</v>
      </c>
      <c r="H110" s="69">
        <f>Q12</f>
        <v>2.8000000000000003</v>
      </c>
      <c r="I110" s="71">
        <f>Q11</f>
        <v>1.7</v>
      </c>
      <c r="J110" s="71">
        <f>Q13</f>
        <v>3.9000000000000004</v>
      </c>
      <c r="K110" s="157">
        <f>Q9</f>
        <v>0.2</v>
      </c>
      <c r="L110" s="157">
        <f>Q15</f>
        <v>7</v>
      </c>
      <c r="M110" s="14"/>
      <c r="Q110" s="12"/>
      <c r="R110" s="97"/>
      <c r="S110" s="97"/>
      <c r="T110" s="97"/>
      <c r="U110" s="97"/>
      <c r="V110" s="144"/>
      <c r="AA110" s="154">
        <v>0.9</v>
      </c>
    </row>
    <row r="111" spans="1:27" ht="15.75" x14ac:dyDescent="0.25">
      <c r="A111" s="145">
        <v>1.1000000000000001</v>
      </c>
      <c r="D111" s="68" t="s">
        <v>102</v>
      </c>
      <c r="E111" s="58">
        <f>N78</f>
        <v>2.7992857142857153</v>
      </c>
      <c r="F111" s="58">
        <f>P78</f>
        <v>1.427655744559696</v>
      </c>
      <c r="G111" s="139">
        <f>Q78</f>
        <v>0.51000715549466025</v>
      </c>
      <c r="H111" s="58">
        <f>U80</f>
        <v>2.8500000000000005</v>
      </c>
      <c r="I111" s="58">
        <f>U79</f>
        <v>1.5999999999999999</v>
      </c>
      <c r="J111" s="58">
        <f>U81</f>
        <v>3.8000000000000003</v>
      </c>
      <c r="K111" s="158">
        <f>U77</f>
        <v>0.30000000000000004</v>
      </c>
      <c r="L111" s="158">
        <f>U83</f>
        <v>5.6000000000000005</v>
      </c>
      <c r="M111" s="142">
        <f>R78</f>
        <v>0.12065893268022353</v>
      </c>
      <c r="Q111" s="12"/>
      <c r="R111" s="97"/>
      <c r="S111" s="97"/>
      <c r="T111" s="97"/>
      <c r="U111" s="97"/>
      <c r="V111" s="144"/>
      <c r="AA111" s="154">
        <v>3.6</v>
      </c>
    </row>
    <row r="112" spans="1:27" ht="15.75" x14ac:dyDescent="0.25">
      <c r="A112" s="145">
        <v>2.1</v>
      </c>
      <c r="C112" s="66"/>
      <c r="D112" s="138" t="s">
        <v>114</v>
      </c>
      <c r="E112" s="67">
        <v>2.8278571428571402</v>
      </c>
      <c r="F112" s="67">
        <v>1.34137628544613</v>
      </c>
      <c r="G112" s="72">
        <v>47.434372306758704</v>
      </c>
      <c r="H112" s="67">
        <f>Q21</f>
        <v>2.8</v>
      </c>
      <c r="I112" s="67">
        <f>Q20</f>
        <v>1.7</v>
      </c>
      <c r="J112" s="67">
        <f>Q22</f>
        <v>3.9</v>
      </c>
      <c r="K112" s="159">
        <f>Q18</f>
        <v>0.4</v>
      </c>
      <c r="L112" s="159">
        <f>Q24</f>
        <v>6.3</v>
      </c>
      <c r="M112" s="156">
        <v>0.11336698748367301</v>
      </c>
      <c r="Q112" s="12"/>
      <c r="R112" s="97"/>
      <c r="S112" s="97"/>
      <c r="T112" s="97"/>
      <c r="U112" s="97"/>
      <c r="V112" s="144"/>
      <c r="AA112" s="154">
        <v>1.5</v>
      </c>
    </row>
    <row r="113" spans="1:27" ht="15.75" x14ac:dyDescent="0.25">
      <c r="A113" s="145">
        <v>4</v>
      </c>
      <c r="C113" s="132"/>
      <c r="D113" s="133" t="s">
        <v>79</v>
      </c>
      <c r="E113" s="134">
        <f>N39</f>
        <v>2.8899999999999997</v>
      </c>
      <c r="F113" s="134">
        <f>P39</f>
        <v>1.871095935541522</v>
      </c>
      <c r="G113" s="140">
        <f>Q39</f>
        <v>0.64743803997976546</v>
      </c>
      <c r="H113" s="134">
        <f>U39</f>
        <v>3.0500000000000003</v>
      </c>
      <c r="I113" s="134">
        <f>T39</f>
        <v>1.4</v>
      </c>
      <c r="J113" s="134">
        <f>V39</f>
        <v>4.3250000000000002</v>
      </c>
      <c r="K113" s="160">
        <f>S39</f>
        <v>0.4</v>
      </c>
      <c r="L113" s="160">
        <f>W39</f>
        <v>5.6000000000000005</v>
      </c>
      <c r="M113" s="142">
        <f>R39</f>
        <v>0.5916924876994808</v>
      </c>
      <c r="Q113" s="12"/>
      <c r="R113" s="97"/>
      <c r="S113" s="97"/>
      <c r="T113" s="97"/>
      <c r="U113" s="97"/>
      <c r="V113" s="144"/>
      <c r="AA113" s="154">
        <v>1.4</v>
      </c>
    </row>
    <row r="114" spans="1:27" ht="15.75" x14ac:dyDescent="0.25">
      <c r="A114" s="145">
        <v>4.4000000000000004</v>
      </c>
      <c r="C114" s="132"/>
      <c r="D114" s="133" t="s">
        <v>80</v>
      </c>
      <c r="E114" s="134">
        <f>N40</f>
        <v>3.31</v>
      </c>
      <c r="F114" s="134">
        <f t="shared" ref="F114:F119" si="24">P40</f>
        <v>1.0702543830531339</v>
      </c>
      <c r="G114" s="140">
        <f t="shared" ref="G114:G119" si="25">Q40</f>
        <v>0.32333969276529723</v>
      </c>
      <c r="H114" s="134">
        <f t="shared" ref="H114:H119" si="26">U40</f>
        <v>3.25</v>
      </c>
      <c r="I114" s="134">
        <f t="shared" ref="I114:I119" si="27">T40</f>
        <v>2.6500000000000004</v>
      </c>
      <c r="J114" s="134">
        <f t="shared" ref="J114:J119" si="28">V40</f>
        <v>3.75</v>
      </c>
      <c r="K114" s="160">
        <f t="shared" ref="K114:K119" si="29">S40</f>
        <v>1.9</v>
      </c>
      <c r="L114" s="160">
        <f t="shared" ref="L114:L119" si="30">W40</f>
        <v>5.6000000000000005</v>
      </c>
      <c r="M114" s="142">
        <f t="shared" ref="M114:M119" si="31">R40</f>
        <v>0.33844415262262167</v>
      </c>
      <c r="Q114" s="12"/>
      <c r="R114" s="97"/>
      <c r="S114" s="97"/>
      <c r="T114" s="97"/>
      <c r="U114" s="97"/>
      <c r="V114" s="144"/>
      <c r="AA114" s="154">
        <v>3.7</v>
      </c>
    </row>
    <row r="115" spans="1:27" ht="15.75" x14ac:dyDescent="0.25">
      <c r="A115" s="145">
        <v>1.4</v>
      </c>
      <c r="C115" s="132"/>
      <c r="D115" s="133" t="s">
        <v>81</v>
      </c>
      <c r="E115" s="134">
        <f t="shared" ref="E115:E119" si="32">N41</f>
        <v>3.3600000000000003</v>
      </c>
      <c r="F115" s="134">
        <f t="shared" si="24"/>
        <v>1.5428689006018768</v>
      </c>
      <c r="G115" s="140">
        <f t="shared" si="25"/>
        <v>0.45918717279817756</v>
      </c>
      <c r="H115" s="134">
        <f t="shared" si="26"/>
        <v>3.75</v>
      </c>
      <c r="I115" s="134">
        <f t="shared" si="27"/>
        <v>2.3250000000000002</v>
      </c>
      <c r="J115" s="134">
        <f t="shared" si="28"/>
        <v>4.5750000000000002</v>
      </c>
      <c r="K115" s="160">
        <f t="shared" si="29"/>
        <v>0.4</v>
      </c>
      <c r="L115" s="160">
        <f t="shared" si="30"/>
        <v>4.9000000000000004</v>
      </c>
      <c r="M115" s="142">
        <f t="shared" si="31"/>
        <v>0.48789798569418624</v>
      </c>
      <c r="Q115" s="12"/>
      <c r="R115" s="97"/>
      <c r="S115" s="97"/>
      <c r="T115" s="97"/>
      <c r="U115" s="97"/>
      <c r="V115" s="144"/>
      <c r="AA115" s="154">
        <v>4.2</v>
      </c>
    </row>
    <row r="116" spans="1:27" ht="15.75" x14ac:dyDescent="0.25">
      <c r="A116" s="145">
        <v>3.2</v>
      </c>
      <c r="C116" s="132"/>
      <c r="D116" s="133" t="s">
        <v>82</v>
      </c>
      <c r="E116" s="134">
        <f t="shared" si="32"/>
        <v>2.41</v>
      </c>
      <c r="F116" s="134">
        <f t="shared" si="24"/>
        <v>1.219699416523049</v>
      </c>
      <c r="G116" s="140">
        <f t="shared" si="25"/>
        <v>0.50609934295562198</v>
      </c>
      <c r="H116" s="134">
        <f t="shared" si="26"/>
        <v>1.8</v>
      </c>
      <c r="I116" s="134">
        <f t="shared" si="27"/>
        <v>1.5249999999999999</v>
      </c>
      <c r="J116" s="134">
        <f t="shared" si="28"/>
        <v>3.1500000000000004</v>
      </c>
      <c r="K116" s="160">
        <f t="shared" si="29"/>
        <v>1.1000000000000001</v>
      </c>
      <c r="L116" s="160">
        <f t="shared" si="30"/>
        <v>4.8</v>
      </c>
      <c r="M116" s="142">
        <f t="shared" si="31"/>
        <v>0.38570282169912445</v>
      </c>
      <c r="Q116" s="12"/>
      <c r="R116" s="97"/>
      <c r="S116" s="97"/>
      <c r="T116" s="97"/>
      <c r="U116" s="97"/>
      <c r="V116" s="144"/>
      <c r="AA116" s="154">
        <v>2.8</v>
      </c>
    </row>
    <row r="117" spans="1:27" ht="15.75" x14ac:dyDescent="0.25">
      <c r="A117" s="145">
        <v>2.2000000000000002</v>
      </c>
      <c r="C117" s="132"/>
      <c r="D117" s="133" t="s">
        <v>83</v>
      </c>
      <c r="E117" s="134">
        <f t="shared" si="32"/>
        <v>2.2500000000000004</v>
      </c>
      <c r="F117" s="134">
        <f t="shared" si="24"/>
        <v>1.7232076034083774</v>
      </c>
      <c r="G117" s="140">
        <f t="shared" si="25"/>
        <v>0.76587004595927866</v>
      </c>
      <c r="H117" s="134">
        <f t="shared" si="26"/>
        <v>1.85</v>
      </c>
      <c r="I117" s="134">
        <f t="shared" si="27"/>
        <v>0.85000000000000009</v>
      </c>
      <c r="J117" s="134">
        <f t="shared" si="28"/>
        <v>3.3250000000000002</v>
      </c>
      <c r="K117" s="160">
        <f t="shared" si="29"/>
        <v>0.4</v>
      </c>
      <c r="L117" s="160">
        <f t="shared" si="30"/>
        <v>5.2</v>
      </c>
      <c r="M117" s="142">
        <f t="shared" si="31"/>
        <v>0.5449260908090604</v>
      </c>
      <c r="Q117" s="12"/>
      <c r="R117" s="97"/>
      <c r="S117" s="97"/>
      <c r="T117" s="97"/>
      <c r="U117" s="97"/>
      <c r="V117" s="144"/>
      <c r="AA117" s="154">
        <v>2.2999999999999998</v>
      </c>
    </row>
    <row r="118" spans="1:27" ht="15.75" x14ac:dyDescent="0.25">
      <c r="A118" s="145">
        <v>1.8</v>
      </c>
      <c r="C118" s="132"/>
      <c r="D118" s="133" t="s">
        <v>84</v>
      </c>
      <c r="E118" s="134">
        <f t="shared" si="32"/>
        <v>2.4700000000000006</v>
      </c>
      <c r="F118" s="134">
        <f t="shared" si="24"/>
        <v>1.3856807392437511</v>
      </c>
      <c r="G118" s="140">
        <f t="shared" si="25"/>
        <v>0.56100434787196385</v>
      </c>
      <c r="H118" s="134">
        <f t="shared" si="26"/>
        <v>2.35</v>
      </c>
      <c r="I118" s="134">
        <f t="shared" si="27"/>
        <v>1.375</v>
      </c>
      <c r="J118" s="134">
        <f t="shared" si="28"/>
        <v>3.3000000000000003</v>
      </c>
      <c r="K118" s="160">
        <f t="shared" si="29"/>
        <v>0.8</v>
      </c>
      <c r="L118" s="160">
        <f t="shared" si="30"/>
        <v>4.9000000000000004</v>
      </c>
      <c r="M118" s="142">
        <f t="shared" si="31"/>
        <v>0.43819072458361191</v>
      </c>
      <c r="Q118" s="12"/>
      <c r="R118" s="97"/>
      <c r="S118" s="97"/>
      <c r="T118" s="97"/>
      <c r="U118" s="97"/>
      <c r="V118" s="144"/>
      <c r="AA118" s="154">
        <v>1</v>
      </c>
    </row>
    <row r="119" spans="1:27" ht="15.75" x14ac:dyDescent="0.25">
      <c r="A119" s="145">
        <v>0.5</v>
      </c>
      <c r="C119" s="132"/>
      <c r="D119" s="133" t="s">
        <v>85</v>
      </c>
      <c r="E119" s="134">
        <f t="shared" si="32"/>
        <v>2.4900000000000002</v>
      </c>
      <c r="F119" s="134">
        <f t="shared" si="24"/>
        <v>1.6189502771858064</v>
      </c>
      <c r="G119" s="140">
        <f t="shared" si="25"/>
        <v>0.65018083421116724</v>
      </c>
      <c r="H119" s="134">
        <f t="shared" si="26"/>
        <v>2.2000000000000002</v>
      </c>
      <c r="I119" s="134">
        <f t="shared" si="27"/>
        <v>1.175</v>
      </c>
      <c r="J119" s="134">
        <f t="shared" si="28"/>
        <v>3.95</v>
      </c>
      <c r="K119" s="160">
        <f t="shared" si="29"/>
        <v>0.30000000000000004</v>
      </c>
      <c r="L119" s="160">
        <f t="shared" si="30"/>
        <v>4.8</v>
      </c>
      <c r="M119" s="142">
        <f t="shared" si="31"/>
        <v>0.5119570294468081</v>
      </c>
      <c r="Q119" s="12"/>
      <c r="R119" s="97"/>
      <c r="S119" s="97"/>
      <c r="T119" s="97"/>
      <c r="U119" s="97"/>
      <c r="V119" s="144"/>
      <c r="AA119" s="154">
        <v>1.4</v>
      </c>
    </row>
    <row r="120" spans="1:27" ht="15.75" x14ac:dyDescent="0.25">
      <c r="A120" s="145">
        <v>3</v>
      </c>
      <c r="C120" s="135"/>
      <c r="D120" s="136" t="s">
        <v>86</v>
      </c>
      <c r="E120" s="137">
        <f>N64</f>
        <v>2.5900000000000003</v>
      </c>
      <c r="F120" s="137">
        <f>P64</f>
        <v>1.0650508595054669</v>
      </c>
      <c r="G120" s="141">
        <f>Q64</f>
        <v>0.41121654807160879</v>
      </c>
      <c r="H120" s="137">
        <f>U64</f>
        <v>2.4500000000000002</v>
      </c>
      <c r="I120" s="137">
        <f>T64</f>
        <v>1.7749999999999999</v>
      </c>
      <c r="J120" s="137">
        <f>V64</f>
        <v>3.3000000000000003</v>
      </c>
      <c r="K120" s="161">
        <f>S64</f>
        <v>1.3</v>
      </c>
      <c r="L120" s="161">
        <f>W64</f>
        <v>4.5</v>
      </c>
      <c r="M120" s="142">
        <f>R64</f>
        <v>0.33679865399572689</v>
      </c>
      <c r="Q120" s="12"/>
      <c r="R120" s="97"/>
      <c r="S120" s="97"/>
      <c r="T120" s="97"/>
      <c r="U120" s="97"/>
      <c r="V120" s="144"/>
      <c r="AA120" s="154">
        <v>1.1000000000000001</v>
      </c>
    </row>
    <row r="121" spans="1:27" ht="15.75" x14ac:dyDescent="0.25">
      <c r="A121" s="145">
        <v>1.7</v>
      </c>
      <c r="C121" s="135"/>
      <c r="D121" s="136" t="s">
        <v>104</v>
      </c>
      <c r="E121" s="137">
        <f t="shared" ref="E121:E126" si="33">N65</f>
        <v>2.6</v>
      </c>
      <c r="F121" s="137">
        <f t="shared" ref="F121:F126" si="34">P65</f>
        <v>1.8196458751941582</v>
      </c>
      <c r="G121" s="141">
        <f t="shared" ref="G121:G126" si="35">Q65</f>
        <v>0.69986379815159927</v>
      </c>
      <c r="H121" s="137">
        <f t="shared" ref="H121:H126" si="36">U65</f>
        <v>2.5499999999999998</v>
      </c>
      <c r="I121" s="137">
        <f t="shared" ref="I121:I126" si="37">T65</f>
        <v>0.92499999999999993</v>
      </c>
      <c r="J121" s="137">
        <f t="shared" ref="J121:J126" si="38">V65</f>
        <v>4.125</v>
      </c>
      <c r="K121" s="161">
        <f t="shared" ref="K121:K126" si="39">S65</f>
        <v>0.4</v>
      </c>
      <c r="L121" s="161">
        <f t="shared" ref="L121:L126" si="40">W65</f>
        <v>5.2</v>
      </c>
      <c r="M121" s="142">
        <f t="shared" ref="M121:M126" si="41">R65</f>
        <v>0.57542255005440246</v>
      </c>
      <c r="Q121" s="12"/>
      <c r="R121" s="97"/>
      <c r="S121" s="97"/>
      <c r="T121" s="97"/>
      <c r="U121" s="97"/>
      <c r="V121" s="144"/>
      <c r="AA121" s="154">
        <v>3.8</v>
      </c>
    </row>
    <row r="122" spans="1:27" ht="15.75" x14ac:dyDescent="0.25">
      <c r="A122" s="145">
        <v>1</v>
      </c>
      <c r="C122" s="135"/>
      <c r="D122" s="136" t="s">
        <v>105</v>
      </c>
      <c r="E122" s="137">
        <f t="shared" si="33"/>
        <v>2.16</v>
      </c>
      <c r="F122" s="137">
        <f t="shared" si="34"/>
        <v>1.5600569790164009</v>
      </c>
      <c r="G122" s="141">
        <f t="shared" si="35"/>
        <v>0.72224860139648184</v>
      </c>
      <c r="H122" s="137">
        <f t="shared" si="36"/>
        <v>1.9</v>
      </c>
      <c r="I122" s="137">
        <f t="shared" si="37"/>
        <v>0.95</v>
      </c>
      <c r="J122" s="137">
        <f t="shared" si="38"/>
        <v>2.9249999999999998</v>
      </c>
      <c r="K122" s="161">
        <f t="shared" si="39"/>
        <v>0.30000000000000004</v>
      </c>
      <c r="L122" s="161">
        <f t="shared" si="40"/>
        <v>5.4</v>
      </c>
      <c r="M122" s="142">
        <f t="shared" si="41"/>
        <v>0.49333333333333346</v>
      </c>
      <c r="Q122" s="12"/>
      <c r="R122" s="97"/>
      <c r="S122" s="97"/>
      <c r="T122" s="97"/>
      <c r="U122" s="97"/>
      <c r="V122" s="144"/>
      <c r="AA122" s="154">
        <v>4.5</v>
      </c>
    </row>
    <row r="123" spans="1:27" ht="15.75" x14ac:dyDescent="0.25">
      <c r="A123" s="145">
        <v>3.3000000000000003</v>
      </c>
      <c r="C123" s="135"/>
      <c r="D123" s="136" t="s">
        <v>106</v>
      </c>
      <c r="E123" s="137">
        <f t="shared" si="33"/>
        <v>2.72</v>
      </c>
      <c r="F123" s="137">
        <f t="shared" si="34"/>
        <v>1.6382917933017918</v>
      </c>
      <c r="G123" s="141">
        <f t="shared" si="35"/>
        <v>0.60231315930212925</v>
      </c>
      <c r="H123" s="137">
        <f t="shared" si="36"/>
        <v>2.1500000000000004</v>
      </c>
      <c r="I123" s="137">
        <f t="shared" si="37"/>
        <v>1.375</v>
      </c>
      <c r="J123" s="137">
        <f t="shared" si="38"/>
        <v>3.7</v>
      </c>
      <c r="K123" s="161">
        <f t="shared" si="39"/>
        <v>0.89999999999999991</v>
      </c>
      <c r="L123" s="161">
        <f t="shared" si="40"/>
        <v>5.6000000000000005</v>
      </c>
      <c r="M123" s="142">
        <f t="shared" si="41"/>
        <v>0.51807335387954478</v>
      </c>
      <c r="Q123" s="12"/>
      <c r="R123" s="97"/>
      <c r="S123" s="97"/>
      <c r="T123" s="97"/>
      <c r="U123" s="97"/>
      <c r="V123" s="144"/>
      <c r="AA123" s="154">
        <v>3</v>
      </c>
    </row>
    <row r="124" spans="1:27" ht="15.75" x14ac:dyDescent="0.25">
      <c r="A124" s="145">
        <v>2.3000000000000003</v>
      </c>
      <c r="C124" s="135"/>
      <c r="D124" s="136" t="s">
        <v>107</v>
      </c>
      <c r="E124" s="137">
        <f t="shared" si="33"/>
        <v>2.88</v>
      </c>
      <c r="F124" s="137">
        <f t="shared" si="34"/>
        <v>1.5237380935639095</v>
      </c>
      <c r="G124" s="141">
        <f t="shared" si="35"/>
        <v>0.52907572693191307</v>
      </c>
      <c r="H124" s="137">
        <f t="shared" si="36"/>
        <v>3.2</v>
      </c>
      <c r="I124" s="137">
        <f t="shared" si="37"/>
        <v>1.95</v>
      </c>
      <c r="J124" s="137">
        <f t="shared" si="38"/>
        <v>3.95</v>
      </c>
      <c r="K124" s="161">
        <f t="shared" si="39"/>
        <v>0.30000000000000004</v>
      </c>
      <c r="L124" s="161">
        <f t="shared" si="40"/>
        <v>5.1000000000000005</v>
      </c>
      <c r="M124" s="142">
        <f t="shared" si="41"/>
        <v>0.48184829332247064</v>
      </c>
      <c r="Q124" s="12"/>
      <c r="R124" s="97"/>
      <c r="S124" s="97"/>
      <c r="T124" s="97"/>
      <c r="U124" s="97"/>
      <c r="V124" s="144"/>
      <c r="AA124" s="154">
        <v>2</v>
      </c>
    </row>
    <row r="125" spans="1:27" ht="15.75" x14ac:dyDescent="0.25">
      <c r="A125" s="145">
        <v>1.5</v>
      </c>
      <c r="C125" s="135"/>
      <c r="D125" s="136" t="s">
        <v>108</v>
      </c>
      <c r="E125" s="137">
        <f t="shared" si="33"/>
        <v>2.7500000000000004</v>
      </c>
      <c r="F125" s="137">
        <f t="shared" si="34"/>
        <v>1.246550796754343</v>
      </c>
      <c r="G125" s="141">
        <f t="shared" si="35"/>
        <v>0.45329119881976099</v>
      </c>
      <c r="H125" s="137">
        <f t="shared" si="36"/>
        <v>2.1500000000000004</v>
      </c>
      <c r="I125" s="137">
        <f t="shared" si="37"/>
        <v>1.85</v>
      </c>
      <c r="J125" s="137">
        <f t="shared" si="38"/>
        <v>3.5750000000000002</v>
      </c>
      <c r="K125" s="161">
        <f t="shared" si="39"/>
        <v>1.5</v>
      </c>
      <c r="L125" s="161">
        <f t="shared" si="40"/>
        <v>4.8</v>
      </c>
      <c r="M125" s="142">
        <f t="shared" si="41"/>
        <v>0.39419397368413522</v>
      </c>
      <c r="Q125" s="12"/>
      <c r="R125" s="97"/>
      <c r="S125" s="97"/>
      <c r="T125" s="97"/>
      <c r="U125" s="97"/>
      <c r="V125" s="144"/>
      <c r="AA125" s="154">
        <v>0.9</v>
      </c>
    </row>
    <row r="126" spans="1:27" ht="15.75" x14ac:dyDescent="0.25">
      <c r="A126" s="145">
        <v>5.9</v>
      </c>
      <c r="C126" s="135"/>
      <c r="D126" s="136" t="s">
        <v>109</v>
      </c>
      <c r="E126" s="137">
        <f t="shared" si="33"/>
        <v>3.0699999999999994</v>
      </c>
      <c r="F126" s="137">
        <f t="shared" si="34"/>
        <v>1.4016260398392866</v>
      </c>
      <c r="G126" s="141">
        <f t="shared" si="35"/>
        <v>0.45655571330269928</v>
      </c>
      <c r="H126" s="137">
        <f t="shared" si="36"/>
        <v>3.6500000000000004</v>
      </c>
      <c r="I126" s="137">
        <f t="shared" si="37"/>
        <v>2</v>
      </c>
      <c r="J126" s="137">
        <f t="shared" si="38"/>
        <v>4.125</v>
      </c>
      <c r="K126" s="161">
        <f t="shared" si="39"/>
        <v>0.89999999999999991</v>
      </c>
      <c r="L126" s="161">
        <f t="shared" si="40"/>
        <v>4.5</v>
      </c>
      <c r="M126" s="142">
        <f t="shared" si="41"/>
        <v>0.44323307136940504</v>
      </c>
      <c r="N126" s="14"/>
      <c r="O126" s="14"/>
      <c r="P126" s="14"/>
      <c r="Q126" s="144"/>
      <c r="R126" s="144"/>
      <c r="S126" s="144"/>
      <c r="T126" s="144"/>
      <c r="U126" s="144"/>
      <c r="V126" s="144"/>
      <c r="AA126" s="154">
        <v>3.7</v>
      </c>
    </row>
    <row r="127" spans="1:27" ht="15.75" x14ac:dyDescent="0.25">
      <c r="A127" s="145">
        <v>2.5</v>
      </c>
      <c r="B127" s="80"/>
      <c r="C127" s="75"/>
      <c r="D127" s="76"/>
      <c r="E127" s="77"/>
      <c r="F127" s="77"/>
      <c r="G127" s="78"/>
      <c r="H127" s="77"/>
      <c r="I127" s="77"/>
      <c r="J127" s="77"/>
      <c r="K127" s="77"/>
      <c r="L127" s="77"/>
      <c r="M127" s="79"/>
      <c r="N127" s="79"/>
      <c r="O127" s="79"/>
      <c r="P127" s="79"/>
      <c r="Q127" s="79"/>
      <c r="R127" s="144"/>
      <c r="S127" s="144"/>
      <c r="T127" s="144"/>
      <c r="U127" s="144"/>
      <c r="V127" s="144"/>
      <c r="AA127" s="154">
        <v>4.0999999999999996</v>
      </c>
    </row>
    <row r="128" spans="1:27" ht="15.75" x14ac:dyDescent="0.25">
      <c r="A128" s="145">
        <v>1.3</v>
      </c>
      <c r="B128" s="80"/>
      <c r="C128" s="79"/>
      <c r="D128" s="76" t="s">
        <v>118</v>
      </c>
      <c r="E128" s="143">
        <f t="shared" ref="E128:L128" si="42">MIN(E110:E126)</f>
        <v>2.16</v>
      </c>
      <c r="F128" s="143">
        <f t="shared" si="42"/>
        <v>1.0650508595054669</v>
      </c>
      <c r="G128" s="143">
        <f t="shared" si="42"/>
        <v>0.32333969276529723</v>
      </c>
      <c r="H128" s="143">
        <f t="shared" si="42"/>
        <v>1.8</v>
      </c>
      <c r="I128" s="143">
        <f t="shared" si="42"/>
        <v>0.85000000000000009</v>
      </c>
      <c r="J128" s="143">
        <f t="shared" si="42"/>
        <v>2.9249999999999998</v>
      </c>
      <c r="K128" s="143">
        <f t="shared" si="42"/>
        <v>0.2</v>
      </c>
      <c r="L128" s="143">
        <f t="shared" si="42"/>
        <v>4.5</v>
      </c>
      <c r="M128" s="79"/>
      <c r="N128" s="79"/>
      <c r="O128" s="79"/>
      <c r="P128" s="79"/>
      <c r="Q128" s="79"/>
      <c r="R128" s="144"/>
      <c r="S128" s="144"/>
      <c r="T128" s="144"/>
      <c r="U128" s="144"/>
      <c r="V128" s="144"/>
      <c r="AA128" s="154">
        <v>2.6</v>
      </c>
    </row>
    <row r="129" spans="1:27" ht="15.75" x14ac:dyDescent="0.25">
      <c r="A129" s="145">
        <v>4.0999999999999996</v>
      </c>
      <c r="C129" s="79"/>
      <c r="D129" s="76" t="s">
        <v>119</v>
      </c>
      <c r="E129" s="143">
        <f t="shared" ref="E129:L129" si="43">MAX(E110:E126)</f>
        <v>3.3600000000000003</v>
      </c>
      <c r="F129" s="143">
        <f t="shared" si="43"/>
        <v>1.871095935541522</v>
      </c>
      <c r="G129" s="143">
        <f t="shared" si="43"/>
        <v>47.434372306758704</v>
      </c>
      <c r="H129" s="143">
        <f t="shared" si="43"/>
        <v>3.75</v>
      </c>
      <c r="I129" s="143">
        <f t="shared" si="43"/>
        <v>2.6500000000000004</v>
      </c>
      <c r="J129" s="143">
        <f t="shared" si="43"/>
        <v>4.5750000000000002</v>
      </c>
      <c r="K129" s="143">
        <f t="shared" si="43"/>
        <v>1.9</v>
      </c>
      <c r="L129" s="143">
        <f t="shared" si="43"/>
        <v>7</v>
      </c>
      <c r="M129" s="98"/>
      <c r="N129" s="98"/>
      <c r="O129" s="98"/>
      <c r="P129" s="98"/>
      <c r="Q129" s="98"/>
      <c r="R129" s="14"/>
      <c r="S129" s="14"/>
      <c r="T129" s="14"/>
      <c r="U129" s="14"/>
      <c r="V129" s="14"/>
      <c r="AA129" s="154">
        <v>4</v>
      </c>
    </row>
    <row r="130" spans="1:27" ht="15.75" x14ac:dyDescent="0.25">
      <c r="A130" s="145">
        <v>3.5</v>
      </c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14"/>
      <c r="S130" s="14"/>
      <c r="T130" s="14"/>
      <c r="U130" s="14"/>
      <c r="V130" s="14"/>
      <c r="AA130" s="154">
        <v>5.6</v>
      </c>
    </row>
    <row r="131" spans="1:27" ht="15.75" x14ac:dyDescent="0.25">
      <c r="A131" s="145">
        <v>2.2000000000000002</v>
      </c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79"/>
      <c r="N131" s="79"/>
      <c r="O131" s="79"/>
      <c r="P131" s="79"/>
      <c r="Q131" s="79"/>
      <c r="R131" s="14"/>
      <c r="S131" s="14"/>
      <c r="T131" s="14"/>
      <c r="U131" s="14"/>
      <c r="V131" s="14"/>
      <c r="AA131" s="154">
        <v>4.2</v>
      </c>
    </row>
    <row r="132" spans="1:27" ht="18.600000000000001" customHeight="1" x14ac:dyDescent="0.25">
      <c r="A132" s="145">
        <v>1.4</v>
      </c>
      <c r="C132" s="79"/>
      <c r="D132" s="75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14"/>
      <c r="S132" s="14"/>
      <c r="T132" s="14"/>
      <c r="U132" s="14"/>
      <c r="V132" s="14"/>
      <c r="AA132" s="154">
        <v>5.2</v>
      </c>
    </row>
    <row r="133" spans="1:27" ht="15.75" x14ac:dyDescent="0.25">
      <c r="A133" s="145">
        <v>2</v>
      </c>
      <c r="C133" s="79"/>
      <c r="D133" s="75"/>
      <c r="E133" s="79"/>
      <c r="F133" s="79"/>
      <c r="G133" s="79"/>
      <c r="H133" s="79"/>
      <c r="I133" s="79"/>
      <c r="J133" s="79"/>
      <c r="K133" s="79"/>
      <c r="L133" s="79"/>
      <c r="M133" s="99"/>
      <c r="N133" s="99"/>
      <c r="O133" s="99"/>
      <c r="P133" s="99"/>
      <c r="Q133" s="99"/>
      <c r="R133" s="14"/>
      <c r="S133" s="14"/>
      <c r="T133" s="14"/>
      <c r="U133" s="14"/>
      <c r="V133" s="14"/>
      <c r="AA133" s="154">
        <v>3.9</v>
      </c>
    </row>
    <row r="134" spans="1:27" ht="15.75" x14ac:dyDescent="0.25">
      <c r="A134" s="145">
        <v>4.5</v>
      </c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14"/>
      <c r="S134" s="14"/>
      <c r="T134" s="14"/>
      <c r="U134" s="14"/>
      <c r="V134" s="14"/>
      <c r="AA134" s="154">
        <v>4.8</v>
      </c>
    </row>
    <row r="135" spans="1:27" ht="15.75" x14ac:dyDescent="0.25">
      <c r="A135" s="145">
        <v>0.60000000000000009</v>
      </c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14"/>
      <c r="S135" s="14"/>
      <c r="T135" s="14"/>
      <c r="U135" s="14"/>
      <c r="V135" s="14"/>
      <c r="AA135" s="154">
        <v>1.7</v>
      </c>
    </row>
    <row r="136" spans="1:27" ht="15.75" x14ac:dyDescent="0.25">
      <c r="A136" s="145">
        <v>4.5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79"/>
      <c r="N136" s="79"/>
      <c r="O136" s="79"/>
      <c r="P136" s="79"/>
      <c r="Q136" s="79"/>
      <c r="R136" s="14"/>
      <c r="S136" s="14"/>
      <c r="T136" s="14"/>
      <c r="U136" s="14"/>
      <c r="V136" s="14"/>
      <c r="AA136" s="154">
        <v>1</v>
      </c>
    </row>
    <row r="137" spans="1:27" ht="15.75" x14ac:dyDescent="0.25">
      <c r="A137" s="145">
        <v>4.8</v>
      </c>
      <c r="C137" s="79"/>
      <c r="D137" s="75"/>
      <c r="E137" s="75"/>
      <c r="F137" s="75"/>
      <c r="G137" s="75"/>
      <c r="H137" s="75"/>
      <c r="I137" s="75"/>
      <c r="J137" s="75"/>
      <c r="K137" s="79"/>
      <c r="L137" s="79"/>
      <c r="M137" s="79"/>
      <c r="N137" s="79"/>
      <c r="O137" s="79"/>
      <c r="P137" s="79"/>
      <c r="Q137" s="79"/>
      <c r="R137" s="14"/>
      <c r="S137" s="14"/>
      <c r="T137" s="14"/>
      <c r="U137" s="14"/>
      <c r="V137" s="14"/>
      <c r="AA137" s="154">
        <v>2.8</v>
      </c>
    </row>
    <row r="138" spans="1:27" ht="15.75" x14ac:dyDescent="0.25">
      <c r="A138" s="145">
        <v>0.89999999999999991</v>
      </c>
      <c r="C138" s="93"/>
      <c r="D138" s="75"/>
      <c r="E138" s="75"/>
      <c r="F138" s="75"/>
      <c r="G138" s="75"/>
      <c r="H138" s="75"/>
      <c r="I138" s="75"/>
      <c r="J138" s="75"/>
      <c r="K138" s="79"/>
      <c r="L138" s="79"/>
      <c r="M138" s="79"/>
      <c r="N138" s="79"/>
      <c r="O138" s="75"/>
      <c r="P138" s="79"/>
      <c r="Q138" s="79"/>
      <c r="R138" s="14"/>
      <c r="S138" s="14"/>
      <c r="T138" s="14"/>
      <c r="U138" s="14"/>
      <c r="V138" s="14"/>
      <c r="AA138" s="154">
        <v>1.6</v>
      </c>
    </row>
    <row r="139" spans="1:27" ht="15.75" x14ac:dyDescent="0.25">
      <c r="A139" s="145">
        <v>0.7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79"/>
      <c r="M139" s="79"/>
      <c r="N139" s="79"/>
      <c r="O139" s="79"/>
      <c r="P139" s="79"/>
      <c r="Q139" s="79"/>
      <c r="R139" s="14"/>
      <c r="S139" s="14"/>
      <c r="T139" s="14"/>
      <c r="U139" s="14"/>
      <c r="V139" s="14"/>
      <c r="AA139" s="154">
        <v>2.8</v>
      </c>
    </row>
    <row r="140" spans="1:27" ht="15.75" x14ac:dyDescent="0.25">
      <c r="A140" s="145">
        <v>1.1000000000000001</v>
      </c>
      <c r="C140" s="94"/>
      <c r="D140" s="94"/>
      <c r="E140" s="94"/>
      <c r="F140" s="101"/>
      <c r="G140" s="101"/>
      <c r="H140" s="85"/>
      <c r="I140" s="82"/>
      <c r="J140" s="88"/>
      <c r="K140" s="89"/>
      <c r="L140" s="79"/>
      <c r="M140" s="79"/>
      <c r="N140" s="79"/>
      <c r="O140" s="79"/>
      <c r="P140" s="79"/>
      <c r="Q140" s="79"/>
      <c r="R140" s="14"/>
      <c r="S140" s="14"/>
      <c r="T140" s="14"/>
      <c r="U140" s="14"/>
      <c r="V140" s="14"/>
      <c r="AA140" s="154">
        <v>2.7</v>
      </c>
    </row>
    <row r="141" spans="1:27" ht="15.75" x14ac:dyDescent="0.25">
      <c r="A141" s="145">
        <v>2.3000000000000003</v>
      </c>
      <c r="C141" s="95"/>
      <c r="D141" s="96"/>
      <c r="E141" s="95"/>
      <c r="F141" s="102"/>
      <c r="G141" s="102"/>
      <c r="H141" s="75"/>
      <c r="I141" s="83"/>
      <c r="J141" s="84"/>
      <c r="K141" s="90"/>
      <c r="L141" s="79"/>
      <c r="M141" s="79"/>
      <c r="N141" s="79"/>
      <c r="O141" s="79"/>
      <c r="P141" s="79"/>
      <c r="Q141" s="79"/>
      <c r="R141" s="14"/>
      <c r="S141" s="14"/>
      <c r="T141" s="14"/>
      <c r="U141" s="14"/>
      <c r="V141" s="14"/>
    </row>
    <row r="142" spans="1:27" ht="18.75" x14ac:dyDescent="0.3">
      <c r="A142" s="145">
        <v>4.7</v>
      </c>
      <c r="C142" s="95"/>
      <c r="D142" s="96"/>
      <c r="E142" s="95"/>
      <c r="F142" s="102"/>
      <c r="G142" s="102"/>
      <c r="H142" s="75"/>
      <c r="I142" s="83"/>
      <c r="J142" s="84"/>
      <c r="K142" s="90"/>
      <c r="L142" s="79"/>
      <c r="M142" s="91"/>
      <c r="N142" s="91"/>
      <c r="O142" s="91"/>
      <c r="P142" s="91"/>
      <c r="Q142" s="91"/>
      <c r="R142" s="14"/>
      <c r="S142" s="14"/>
      <c r="T142" s="14"/>
      <c r="U142" s="14"/>
      <c r="V142" s="14"/>
    </row>
    <row r="143" spans="1:27" ht="18.75" x14ac:dyDescent="0.3">
      <c r="A143" s="145">
        <v>4.9000000000000004</v>
      </c>
      <c r="C143" s="95"/>
      <c r="D143" s="96"/>
      <c r="E143" s="95"/>
      <c r="F143" s="102"/>
      <c r="G143" s="102"/>
      <c r="H143" s="75"/>
      <c r="I143" s="83"/>
      <c r="J143" s="84"/>
      <c r="K143" s="90"/>
      <c r="L143" s="79"/>
      <c r="M143" s="91"/>
      <c r="N143" s="91"/>
      <c r="O143" s="91"/>
      <c r="P143" s="91"/>
      <c r="Q143" s="91"/>
      <c r="R143" s="81"/>
      <c r="S143" s="81"/>
      <c r="T143" s="14"/>
      <c r="U143" s="14"/>
      <c r="V143" s="14"/>
    </row>
    <row r="144" spans="1:27" ht="18.75" x14ac:dyDescent="0.3">
      <c r="A144" s="145">
        <v>1.7</v>
      </c>
      <c r="C144" s="95"/>
      <c r="D144" s="96"/>
      <c r="E144" s="95"/>
      <c r="F144" s="103"/>
      <c r="G144" s="103"/>
      <c r="H144" s="75"/>
      <c r="I144" s="75"/>
      <c r="J144" s="75"/>
      <c r="K144" s="79"/>
      <c r="L144" s="79"/>
      <c r="M144" s="91"/>
      <c r="N144" s="91"/>
      <c r="O144" s="91"/>
      <c r="P144" s="91"/>
      <c r="Q144" s="91"/>
      <c r="R144" s="81"/>
      <c r="S144" s="81"/>
      <c r="T144" s="14"/>
      <c r="U144" s="14"/>
      <c r="V144" s="14"/>
    </row>
    <row r="145" spans="1:24" ht="16.350000000000001" customHeight="1" x14ac:dyDescent="0.3">
      <c r="A145" s="145">
        <v>3.1</v>
      </c>
      <c r="C145" s="95"/>
      <c r="D145" s="96"/>
      <c r="E145" s="95"/>
      <c r="F145" s="103"/>
      <c r="G145" s="103"/>
      <c r="H145" s="75"/>
      <c r="I145" s="75"/>
      <c r="J145" s="75"/>
      <c r="K145" s="79"/>
      <c r="L145" s="79"/>
      <c r="M145" s="92"/>
      <c r="N145" s="92"/>
      <c r="O145" s="92"/>
      <c r="P145" s="92"/>
      <c r="Q145" s="92"/>
      <c r="R145" s="81"/>
      <c r="S145" s="81"/>
      <c r="T145" s="14"/>
      <c r="U145" s="14"/>
      <c r="V145" s="14"/>
    </row>
    <row r="146" spans="1:24" ht="18.75" x14ac:dyDescent="0.3">
      <c r="A146" s="145">
        <v>3.3000000000000003</v>
      </c>
      <c r="C146" s="95"/>
      <c r="D146" s="96"/>
      <c r="E146" s="95"/>
      <c r="F146" s="103"/>
      <c r="G146" s="103"/>
      <c r="H146" s="75"/>
      <c r="I146" s="75"/>
      <c r="J146" s="75"/>
      <c r="K146" s="79"/>
      <c r="L146" s="79"/>
      <c r="M146" s="79"/>
      <c r="N146" s="79"/>
      <c r="O146" s="79"/>
      <c r="P146" s="79"/>
      <c r="Q146" s="79"/>
      <c r="R146" s="86"/>
      <c r="S146" s="86"/>
      <c r="T146" s="14"/>
      <c r="U146" s="14"/>
      <c r="V146" s="14"/>
      <c r="W146" s="14"/>
      <c r="X146" s="14"/>
    </row>
    <row r="147" spans="1:24" ht="15.75" x14ac:dyDescent="0.25">
      <c r="A147" s="145">
        <v>3.7</v>
      </c>
      <c r="C147" s="95"/>
      <c r="D147" s="96"/>
      <c r="E147" s="95"/>
      <c r="F147" s="103"/>
      <c r="G147" s="103"/>
      <c r="H147" s="75"/>
      <c r="I147" s="75"/>
      <c r="J147" s="75"/>
      <c r="K147" s="79"/>
      <c r="L147" s="79"/>
      <c r="M147" s="79"/>
      <c r="N147" s="79"/>
      <c r="O147" s="79"/>
      <c r="P147" s="79"/>
      <c r="Q147" s="79"/>
      <c r="R147" s="14"/>
      <c r="S147" s="14"/>
      <c r="T147" s="14"/>
      <c r="U147" s="14"/>
      <c r="V147" s="14"/>
      <c r="W147" s="14"/>
      <c r="X147" s="14"/>
    </row>
    <row r="148" spans="1:24" ht="15.75" x14ac:dyDescent="0.25">
      <c r="A148" s="145">
        <v>2.4000000000000004</v>
      </c>
      <c r="C148" s="95"/>
      <c r="D148" s="96"/>
      <c r="E148" s="95"/>
      <c r="F148" s="103"/>
      <c r="G148" s="103"/>
      <c r="H148" s="75"/>
      <c r="I148" s="75"/>
      <c r="J148" s="75"/>
      <c r="K148" s="79"/>
      <c r="L148" s="79"/>
      <c r="M148" s="79"/>
      <c r="N148" s="79"/>
      <c r="O148" s="79"/>
      <c r="P148" s="79"/>
      <c r="Q148" s="79"/>
      <c r="R148" s="14"/>
      <c r="S148" s="14"/>
      <c r="T148" s="14"/>
      <c r="U148" s="14"/>
      <c r="V148" s="14"/>
      <c r="W148" s="14"/>
      <c r="X148" s="14"/>
    </row>
    <row r="149" spans="1:24" ht="15.75" x14ac:dyDescent="0.25">
      <c r="A149" s="145">
        <v>1.5</v>
      </c>
      <c r="C149" s="95"/>
      <c r="D149" s="96"/>
      <c r="E149" s="97"/>
      <c r="F149" s="103"/>
      <c r="G149" s="103"/>
      <c r="H149" s="75"/>
      <c r="I149" s="79"/>
      <c r="J149" s="79"/>
      <c r="K149" s="79"/>
      <c r="L149" s="79"/>
      <c r="M149" s="79"/>
      <c r="N149" s="79"/>
      <c r="O149" s="79"/>
      <c r="P149" s="79"/>
      <c r="Q149" s="79"/>
      <c r="R149" s="14"/>
      <c r="S149" s="14"/>
      <c r="T149" s="14"/>
      <c r="U149" s="14"/>
      <c r="V149" s="14"/>
      <c r="W149" s="14"/>
      <c r="X149" s="14"/>
    </row>
    <row r="150" spans="1:24" ht="15.6" customHeight="1" x14ac:dyDescent="0.25">
      <c r="A150" s="145">
        <v>1.3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105"/>
      <c r="N150" s="105"/>
      <c r="O150" s="79"/>
      <c r="P150" s="79"/>
      <c r="Q150" s="79"/>
      <c r="R150" s="14"/>
      <c r="S150" s="14"/>
      <c r="T150" s="14"/>
      <c r="U150" s="14"/>
      <c r="V150" s="14"/>
    </row>
    <row r="151" spans="1:24" ht="15.75" x14ac:dyDescent="0.25">
      <c r="A151" s="145">
        <v>3.8000000000000003</v>
      </c>
      <c r="C151" s="79"/>
      <c r="D151" s="104"/>
      <c r="E151" s="104"/>
      <c r="F151" s="104"/>
      <c r="G151" s="104"/>
      <c r="H151" s="99"/>
      <c r="I151" s="105"/>
      <c r="J151" s="105"/>
      <c r="K151" s="105"/>
      <c r="L151" s="105"/>
      <c r="M151" s="106"/>
      <c r="N151" s="106"/>
      <c r="O151" s="79"/>
      <c r="P151" s="79"/>
      <c r="Q151" s="79"/>
      <c r="R151" s="14"/>
      <c r="S151" s="14"/>
      <c r="T151" s="14"/>
      <c r="U151" s="14"/>
      <c r="V151" s="14"/>
    </row>
    <row r="152" spans="1:24" ht="15.75" x14ac:dyDescent="0.25">
      <c r="A152" s="145">
        <v>3.2</v>
      </c>
      <c r="C152" s="79"/>
      <c r="D152" s="104"/>
      <c r="E152" s="104"/>
      <c r="F152" s="104"/>
      <c r="G152" s="104"/>
      <c r="H152" s="99"/>
      <c r="I152" s="106"/>
      <c r="J152" s="106"/>
      <c r="K152" s="106"/>
      <c r="L152" s="106"/>
      <c r="M152" s="106"/>
      <c r="N152" s="106"/>
      <c r="O152" s="79"/>
      <c r="P152" s="79"/>
      <c r="Q152" s="79"/>
      <c r="R152" s="14"/>
      <c r="S152" s="14"/>
      <c r="T152" s="14"/>
      <c r="U152" s="14"/>
      <c r="V152" s="14"/>
    </row>
    <row r="153" spans="1:24" ht="15.75" x14ac:dyDescent="0.25">
      <c r="A153" s="145">
        <v>2.5</v>
      </c>
      <c r="C153" s="79"/>
      <c r="D153" s="104"/>
      <c r="E153" s="104"/>
      <c r="F153" s="104"/>
      <c r="G153" s="104"/>
      <c r="H153" s="99"/>
      <c r="I153" s="106"/>
      <c r="J153" s="106"/>
      <c r="K153" s="106"/>
      <c r="L153" s="106"/>
      <c r="M153" s="94"/>
      <c r="N153" s="94"/>
      <c r="O153" s="79"/>
      <c r="P153" s="79"/>
      <c r="Q153" s="79"/>
      <c r="R153" s="14"/>
      <c r="S153" s="14"/>
      <c r="T153" s="14"/>
      <c r="U153" s="14"/>
      <c r="V153" s="14"/>
    </row>
    <row r="154" spans="1:24" ht="15.75" x14ac:dyDescent="0.25">
      <c r="A154" s="145">
        <v>4.7</v>
      </c>
      <c r="C154" s="79"/>
      <c r="D154" s="98"/>
      <c r="E154" s="98"/>
      <c r="F154" s="98"/>
      <c r="G154" s="97"/>
      <c r="H154" s="97"/>
      <c r="I154" s="94"/>
      <c r="J154" s="94"/>
      <c r="K154" s="94"/>
      <c r="L154" s="94"/>
      <c r="M154" s="94"/>
      <c r="N154" s="94"/>
      <c r="O154" s="79"/>
      <c r="P154" s="79"/>
      <c r="Q154" s="79"/>
      <c r="R154" s="14"/>
      <c r="S154" s="14"/>
      <c r="T154" s="14"/>
      <c r="U154" s="14"/>
      <c r="V154" s="14"/>
    </row>
    <row r="155" spans="1:24" ht="15.75" x14ac:dyDescent="0.25">
      <c r="A155" s="145">
        <v>1.4</v>
      </c>
      <c r="C155" s="79"/>
      <c r="D155" s="98"/>
      <c r="E155" s="98"/>
      <c r="F155" s="98"/>
      <c r="G155" s="97"/>
      <c r="H155" s="97"/>
      <c r="I155" s="94"/>
      <c r="J155" s="94"/>
      <c r="K155" s="94"/>
      <c r="L155" s="94"/>
      <c r="M155" s="94"/>
      <c r="N155" s="94"/>
      <c r="O155" s="79"/>
      <c r="P155" s="79"/>
      <c r="Q155" s="79"/>
      <c r="R155" s="14"/>
      <c r="S155" s="14"/>
      <c r="T155" s="14"/>
      <c r="U155" s="14"/>
      <c r="V155" s="14"/>
    </row>
    <row r="156" spans="1:24" ht="15.75" x14ac:dyDescent="0.25">
      <c r="A156" s="145">
        <v>1.3</v>
      </c>
      <c r="C156" s="79"/>
      <c r="D156" s="98"/>
      <c r="E156" s="98"/>
      <c r="F156" s="98"/>
      <c r="G156" s="97"/>
      <c r="H156" s="97"/>
      <c r="I156" s="94"/>
      <c r="J156" s="94"/>
      <c r="K156" s="94"/>
      <c r="L156" s="94"/>
      <c r="M156" s="79"/>
      <c r="N156" s="79"/>
      <c r="O156" s="79"/>
      <c r="P156" s="79"/>
      <c r="Q156" s="79"/>
      <c r="R156" s="14"/>
      <c r="S156" s="14"/>
      <c r="T156" s="14"/>
      <c r="U156" s="14"/>
      <c r="V156" s="14"/>
    </row>
    <row r="157" spans="1:24" ht="15.75" x14ac:dyDescent="0.25">
      <c r="A157" s="145">
        <v>2.8000000000000003</v>
      </c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5"/>
      <c r="P157" s="79"/>
      <c r="Q157" s="79"/>
      <c r="R157" s="14"/>
      <c r="S157" s="14"/>
      <c r="T157" s="14"/>
      <c r="U157" s="14"/>
      <c r="V157" s="14"/>
    </row>
    <row r="158" spans="1:24" ht="15.75" x14ac:dyDescent="0.25">
      <c r="A158" s="145">
        <v>3.9000000000000004</v>
      </c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5"/>
      <c r="P158" s="79"/>
      <c r="Q158" s="79"/>
      <c r="R158" s="14"/>
      <c r="S158" s="14"/>
      <c r="T158" s="14"/>
      <c r="U158" s="14"/>
      <c r="V158" s="14"/>
    </row>
    <row r="159" spans="1:24" ht="15.75" x14ac:dyDescent="0.25">
      <c r="A159" s="145">
        <v>0.60000000000000009</v>
      </c>
      <c r="C159" s="97"/>
      <c r="D159" s="79"/>
      <c r="E159" s="79"/>
      <c r="F159" s="79"/>
      <c r="G159" s="79"/>
      <c r="H159" s="79"/>
      <c r="I159" s="79"/>
      <c r="J159" s="79"/>
      <c r="K159" s="79"/>
      <c r="L159" s="79"/>
      <c r="M159" s="97"/>
      <c r="N159" s="97"/>
      <c r="O159" s="75"/>
      <c r="P159" s="79"/>
      <c r="Q159" s="79"/>
      <c r="R159" s="14"/>
      <c r="S159" s="14"/>
      <c r="T159" s="14"/>
      <c r="U159" s="14"/>
      <c r="V159" s="14"/>
    </row>
    <row r="160" spans="1:24" ht="15.75" x14ac:dyDescent="0.25">
      <c r="A160" s="145">
        <v>3.3000000000000003</v>
      </c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79"/>
      <c r="P160" s="79"/>
      <c r="Q160" s="79"/>
      <c r="R160" s="14"/>
      <c r="S160" s="14"/>
      <c r="T160" s="14"/>
      <c r="U160" s="14"/>
      <c r="V160" s="14"/>
    </row>
    <row r="161" spans="1:22" ht="15.75" x14ac:dyDescent="0.25">
      <c r="A161" s="145">
        <v>1.2</v>
      </c>
      <c r="C161" s="79"/>
      <c r="D161" s="97"/>
      <c r="E161" s="97"/>
      <c r="F161" s="97"/>
      <c r="G161" s="97"/>
      <c r="H161" s="97"/>
      <c r="I161" s="97"/>
      <c r="J161" s="97"/>
      <c r="K161" s="97"/>
      <c r="L161" s="97"/>
      <c r="M161" s="79"/>
      <c r="N161" s="79"/>
      <c r="O161" s="79"/>
      <c r="P161" s="79"/>
      <c r="Q161" s="79"/>
      <c r="R161" s="14"/>
      <c r="S161" s="14"/>
      <c r="T161" s="14"/>
      <c r="U161" s="14"/>
      <c r="V161" s="14"/>
    </row>
    <row r="162" spans="1:22" ht="15.75" x14ac:dyDescent="0.25">
      <c r="A162" s="145">
        <v>1.4</v>
      </c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14"/>
      <c r="S162" s="14"/>
      <c r="T162" s="14"/>
      <c r="U162" s="14"/>
      <c r="V162" s="14"/>
    </row>
    <row r="163" spans="1:22" ht="15.75" x14ac:dyDescent="0.25">
      <c r="A163" s="145">
        <v>1.8</v>
      </c>
      <c r="C163" s="97"/>
      <c r="D163" s="79"/>
      <c r="E163" s="79"/>
      <c r="F163" s="79"/>
      <c r="G163" s="79"/>
      <c r="H163" s="79"/>
      <c r="I163" s="79"/>
      <c r="J163" s="79"/>
      <c r="K163" s="79"/>
      <c r="L163" s="79"/>
      <c r="M163" s="97"/>
      <c r="N163" s="97"/>
      <c r="O163" s="79"/>
      <c r="P163" s="79"/>
      <c r="Q163" s="79"/>
      <c r="R163" s="14"/>
      <c r="S163" s="14"/>
      <c r="T163" s="14"/>
      <c r="U163" s="14"/>
      <c r="V163" s="14"/>
    </row>
    <row r="164" spans="1:22" ht="15.75" x14ac:dyDescent="0.25">
      <c r="A164" s="145">
        <v>4.8</v>
      </c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79"/>
      <c r="P164" s="79"/>
      <c r="Q164" s="79"/>
      <c r="R164" s="14"/>
      <c r="S164" s="14"/>
      <c r="T164" s="14"/>
      <c r="U164" s="14"/>
      <c r="V164" s="14"/>
    </row>
    <row r="165" spans="1:22" ht="15.75" x14ac:dyDescent="0.25">
      <c r="A165" s="145">
        <v>0.60000000000000009</v>
      </c>
      <c r="C165" s="79"/>
      <c r="D165" s="97"/>
      <c r="E165" s="97"/>
      <c r="F165" s="97"/>
      <c r="G165" s="97"/>
      <c r="H165" s="97"/>
      <c r="I165" s="97"/>
      <c r="J165" s="97"/>
      <c r="K165" s="97"/>
      <c r="L165" s="97"/>
      <c r="M165" s="79"/>
      <c r="N165" s="79"/>
      <c r="O165" s="79"/>
      <c r="P165" s="79"/>
      <c r="Q165" s="79"/>
      <c r="R165" s="14"/>
      <c r="S165" s="14"/>
      <c r="T165" s="14"/>
      <c r="U165" s="14"/>
      <c r="V165" s="14"/>
    </row>
    <row r="166" spans="1:22" ht="15.75" x14ac:dyDescent="0.25">
      <c r="A166" s="145">
        <v>1.2</v>
      </c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14"/>
      <c r="S166" s="14"/>
      <c r="T166" s="14"/>
      <c r="U166" s="14"/>
      <c r="V166" s="14"/>
    </row>
    <row r="167" spans="1:22" ht="15.75" x14ac:dyDescent="0.25">
      <c r="A167" s="145">
        <v>2.2000000000000002</v>
      </c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14"/>
      <c r="S167" s="14"/>
      <c r="T167" s="14"/>
      <c r="U167" s="14"/>
      <c r="V167" s="14"/>
    </row>
    <row r="168" spans="1:22" ht="15.75" x14ac:dyDescent="0.25">
      <c r="A168" s="145">
        <v>2.3000000000000003</v>
      </c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14"/>
      <c r="S168" s="14"/>
      <c r="T168" s="14"/>
      <c r="U168" s="14"/>
      <c r="V168" s="14"/>
    </row>
    <row r="169" spans="1:22" ht="15.75" x14ac:dyDescent="0.25">
      <c r="A169" s="145">
        <v>2.2000000000000002</v>
      </c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14"/>
      <c r="S169" s="14"/>
      <c r="T169" s="14"/>
      <c r="U169" s="14"/>
      <c r="V169" s="14"/>
    </row>
    <row r="170" spans="1:22" ht="15.75" x14ac:dyDescent="0.25">
      <c r="A170" s="145">
        <v>3.6</v>
      </c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14"/>
      <c r="S170" s="14"/>
      <c r="T170" s="14"/>
      <c r="U170" s="14"/>
      <c r="V170" s="14"/>
    </row>
    <row r="171" spans="1:22" ht="15.75" x14ac:dyDescent="0.25">
      <c r="A171" s="145">
        <v>3.6</v>
      </c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14"/>
      <c r="S171" s="14"/>
      <c r="T171" s="14"/>
      <c r="U171" s="14"/>
      <c r="V171" s="14"/>
    </row>
    <row r="172" spans="1:22" ht="15.75" x14ac:dyDescent="0.25">
      <c r="A172" s="145">
        <v>3.8000000000000003</v>
      </c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14"/>
      <c r="S172" s="14"/>
      <c r="T172" s="14"/>
      <c r="U172" s="14"/>
      <c r="V172" s="14"/>
    </row>
    <row r="173" spans="1:22" ht="15.75" x14ac:dyDescent="0.25">
      <c r="A173" s="145">
        <v>0.89999999999999991</v>
      </c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14"/>
      <c r="S173" s="14"/>
      <c r="T173" s="14"/>
      <c r="U173" s="14"/>
      <c r="V173" s="14"/>
    </row>
    <row r="174" spans="1:22" ht="15.75" x14ac:dyDescent="0.25">
      <c r="A174" s="145">
        <v>4.2</v>
      </c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14"/>
      <c r="S174" s="14"/>
      <c r="T174" s="14"/>
      <c r="U174" s="14"/>
      <c r="V174" s="14"/>
    </row>
    <row r="175" spans="1:22" ht="15.75" x14ac:dyDescent="0.25">
      <c r="A175" s="145">
        <v>1.7</v>
      </c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spans="1:22" ht="15.75" x14ac:dyDescent="0.25">
      <c r="A176" s="145">
        <v>0.30000000000000004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spans="1:22" ht="15.75" x14ac:dyDescent="0.25">
      <c r="A177" s="145">
        <v>3.1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spans="1:22" ht="15.75" x14ac:dyDescent="0.25">
      <c r="A178" s="145">
        <v>5.1000000000000005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spans="1:22" ht="15.75" x14ac:dyDescent="0.25">
      <c r="A179" s="145">
        <v>3.6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spans="1:22" ht="15.75" x14ac:dyDescent="0.25">
      <c r="A180" s="145">
        <v>5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spans="1:22" ht="15.75" x14ac:dyDescent="0.25">
      <c r="A181" s="145">
        <v>3.2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spans="1:22" ht="15.75" x14ac:dyDescent="0.25">
      <c r="A182" s="145">
        <v>4.2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spans="1:22" ht="15.75" x14ac:dyDescent="0.25">
      <c r="A183" s="145">
        <v>4.8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spans="1:22" ht="15.75" x14ac:dyDescent="0.25">
      <c r="A184" s="145">
        <v>2.9000000000000004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spans="1:22" ht="15.75" x14ac:dyDescent="0.25">
      <c r="A185" s="145">
        <v>4.2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spans="1:22" ht="15.75" x14ac:dyDescent="0.25">
      <c r="A186" s="145">
        <v>0.4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spans="1:22" ht="15.75" x14ac:dyDescent="0.25">
      <c r="A187" s="145">
        <v>4.8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spans="1:22" ht="15.75" x14ac:dyDescent="0.25">
      <c r="A188" s="145">
        <v>3.2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1:22" ht="15.75" x14ac:dyDescent="0.25">
      <c r="A189" s="145">
        <v>3.8000000000000003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spans="1:22" ht="15.75" x14ac:dyDescent="0.25">
      <c r="A190" s="145">
        <v>5.5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spans="1:22" ht="15.75" x14ac:dyDescent="0.25">
      <c r="A191" s="145">
        <v>4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spans="1:22" ht="15.75" x14ac:dyDescent="0.25">
      <c r="A192" s="145">
        <v>4.4000000000000004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spans="1:22" ht="15.75" x14ac:dyDescent="0.25">
      <c r="A193" s="145">
        <v>2.2000000000000002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spans="1:22" ht="15.75" x14ac:dyDescent="0.25">
      <c r="A194" s="145">
        <v>1.5999999999999999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spans="1:22" ht="15.75" x14ac:dyDescent="0.25">
      <c r="A195" s="145">
        <v>1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spans="1:22" ht="15.75" x14ac:dyDescent="0.25">
      <c r="A196" s="145">
        <v>0.30000000000000004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spans="1:22" ht="15.75" x14ac:dyDescent="0.25">
      <c r="A197" s="145">
        <v>4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spans="1:22" ht="15.75" x14ac:dyDescent="0.25">
      <c r="A198" s="145">
        <v>3.3000000000000003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 spans="1:22" ht="15.75" x14ac:dyDescent="0.25">
      <c r="A199" s="145">
        <v>0.89999999999999991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spans="1:22" ht="15.75" x14ac:dyDescent="0.25">
      <c r="A200" s="145">
        <v>1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 spans="1:22" ht="15.75" x14ac:dyDescent="0.25">
      <c r="A201" s="145">
        <v>0.8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 spans="1:22" ht="15.75" x14ac:dyDescent="0.25">
      <c r="A202" s="145">
        <v>2.7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spans="1:22" ht="15.75" x14ac:dyDescent="0.25">
      <c r="A203" s="145">
        <v>3.8000000000000003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spans="1:22" ht="15.75" x14ac:dyDescent="0.25">
      <c r="A204" s="145">
        <v>4.0999999999999996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spans="1:22" ht="15.75" x14ac:dyDescent="0.25">
      <c r="A205" s="145">
        <v>3.7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spans="1:22" ht="15.75" x14ac:dyDescent="0.25">
      <c r="A206" s="145">
        <v>4.7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 spans="1:22" ht="15.75" x14ac:dyDescent="0.25">
      <c r="A207" s="145">
        <v>2.2000000000000002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 spans="1:22" ht="15.75" x14ac:dyDescent="0.25">
      <c r="A208" s="145">
        <v>1.7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 spans="1:22" ht="15.75" x14ac:dyDescent="0.25">
      <c r="A209" s="145">
        <v>1.5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 spans="1:22" ht="15.75" x14ac:dyDescent="0.25">
      <c r="A210" s="145">
        <v>3.7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 spans="1:22" ht="15.75" x14ac:dyDescent="0.25">
      <c r="A211" s="145">
        <v>3.9000000000000004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 spans="1:22" ht="15.75" x14ac:dyDescent="0.25">
      <c r="A212" s="145">
        <v>3.2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spans="1:22" ht="15.75" x14ac:dyDescent="0.25">
      <c r="A213" s="145">
        <v>2.9000000000000004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spans="1:22" ht="15.75" x14ac:dyDescent="0.25">
      <c r="A214" s="145">
        <v>6.2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spans="1:22" ht="15.75" x14ac:dyDescent="0.25">
      <c r="A215" s="145">
        <v>3.7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spans="1:22" ht="15.75" x14ac:dyDescent="0.25">
      <c r="A216" s="145">
        <v>0.4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spans="1:22" ht="15.75" x14ac:dyDescent="0.25">
      <c r="A217" s="145">
        <v>3.4000000000000004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spans="1:22" ht="15.75" x14ac:dyDescent="0.25">
      <c r="A218" s="145">
        <v>6.2</v>
      </c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spans="1:22" ht="15.75" x14ac:dyDescent="0.25">
      <c r="A219" s="145">
        <v>2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spans="1:22" ht="15.75" x14ac:dyDescent="0.25">
      <c r="A220" s="145">
        <v>4.5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1:22" ht="15.75" x14ac:dyDescent="0.25">
      <c r="A221" s="145">
        <v>3.8000000000000003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spans="1:22" ht="15.75" x14ac:dyDescent="0.25">
      <c r="A222" s="145">
        <v>5.6000000000000005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spans="1:22" ht="15.75" x14ac:dyDescent="0.25">
      <c r="A223" s="145">
        <v>4.0999999999999996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spans="1:22" ht="15.75" x14ac:dyDescent="0.25">
      <c r="A224" s="145">
        <v>0.4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spans="1:22" ht="15.75" x14ac:dyDescent="0.25">
      <c r="A225" s="145">
        <v>3.2</v>
      </c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spans="1:22" ht="15.75" x14ac:dyDescent="0.25">
      <c r="A226" s="145">
        <v>2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</row>
    <row r="227" spans="1:22" ht="15.75" x14ac:dyDescent="0.25">
      <c r="A227" s="145">
        <v>6.7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</row>
    <row r="228" spans="1:22" ht="15.75" x14ac:dyDescent="0.25">
      <c r="A228" s="145">
        <v>3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22" ht="15.75" x14ac:dyDescent="0.25">
      <c r="A229" s="145">
        <v>2.4000000000000004</v>
      </c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R229" s="14"/>
      <c r="S229" s="14"/>
    </row>
    <row r="230" spans="1:22" ht="15.75" x14ac:dyDescent="0.25">
      <c r="A230" s="145">
        <v>2.5</v>
      </c>
      <c r="D230" s="14"/>
      <c r="E230" s="14"/>
      <c r="F230" s="14"/>
      <c r="G230" s="14"/>
      <c r="H230" s="14"/>
      <c r="I230" s="14"/>
      <c r="J230" s="14"/>
      <c r="K230" s="14"/>
      <c r="L230" s="14"/>
      <c r="R230" s="14"/>
      <c r="S230" s="14"/>
    </row>
    <row r="231" spans="1:22" ht="15.75" x14ac:dyDescent="0.25">
      <c r="A231" s="145">
        <v>4.4000000000000004</v>
      </c>
      <c r="R231" s="14"/>
    </row>
    <row r="232" spans="1:22" x14ac:dyDescent="0.25">
      <c r="A232" s="145">
        <v>3.1</v>
      </c>
    </row>
    <row r="233" spans="1:22" x14ac:dyDescent="0.25">
      <c r="A233" s="145">
        <v>1</v>
      </c>
    </row>
    <row r="234" spans="1:22" x14ac:dyDescent="0.25">
      <c r="A234" s="145">
        <v>2.3000000000000003</v>
      </c>
    </row>
    <row r="235" spans="1:22" x14ac:dyDescent="0.25">
      <c r="A235" s="145">
        <v>5.6000000000000005</v>
      </c>
    </row>
    <row r="236" spans="1:22" x14ac:dyDescent="0.25">
      <c r="A236" s="145">
        <v>3.3000000000000003</v>
      </c>
    </row>
    <row r="237" spans="1:22" x14ac:dyDescent="0.25">
      <c r="A237" s="145">
        <v>5.8</v>
      </c>
    </row>
    <row r="238" spans="1:22" x14ac:dyDescent="0.25">
      <c r="A238" s="145">
        <v>2.7</v>
      </c>
    </row>
    <row r="239" spans="1:22" x14ac:dyDescent="0.25">
      <c r="A239" s="145">
        <v>4.4000000000000004</v>
      </c>
    </row>
    <row r="240" spans="1:22" x14ac:dyDescent="0.25">
      <c r="A240" s="145">
        <v>2.7</v>
      </c>
    </row>
    <row r="241" spans="1:1" x14ac:dyDescent="0.25">
      <c r="A241" s="145">
        <v>3.7</v>
      </c>
    </row>
    <row r="242" spans="1:1" x14ac:dyDescent="0.25">
      <c r="A242" s="145">
        <v>1.8</v>
      </c>
    </row>
    <row r="243" spans="1:1" x14ac:dyDescent="0.25">
      <c r="A243" s="145">
        <v>2.7</v>
      </c>
    </row>
    <row r="244" spans="1:1" x14ac:dyDescent="0.25">
      <c r="A244" s="145">
        <v>4.6000000000000005</v>
      </c>
    </row>
    <row r="245" spans="1:1" x14ac:dyDescent="0.25">
      <c r="A245" s="145">
        <v>1</v>
      </c>
    </row>
    <row r="246" spans="1:1" x14ac:dyDescent="0.25">
      <c r="A246" s="145">
        <v>1.1000000000000001</v>
      </c>
    </row>
    <row r="247" spans="1:1" x14ac:dyDescent="0.25">
      <c r="A247" s="145">
        <v>2.6</v>
      </c>
    </row>
    <row r="248" spans="1:1" x14ac:dyDescent="0.25">
      <c r="A248" s="145">
        <v>1.4</v>
      </c>
    </row>
    <row r="249" spans="1:1" x14ac:dyDescent="0.25">
      <c r="A249" s="145">
        <v>1</v>
      </c>
    </row>
    <row r="250" spans="1:1" x14ac:dyDescent="0.25">
      <c r="A250" s="145">
        <v>0.89999999999999991</v>
      </c>
    </row>
    <row r="251" spans="1:1" x14ac:dyDescent="0.25">
      <c r="A251" s="145">
        <v>3.3000000000000003</v>
      </c>
    </row>
    <row r="252" spans="1:1" x14ac:dyDescent="0.25">
      <c r="A252" s="145">
        <v>0.8</v>
      </c>
    </row>
    <row r="253" spans="1:1" x14ac:dyDescent="0.25">
      <c r="A253" s="145">
        <v>1</v>
      </c>
    </row>
    <row r="254" spans="1:1" x14ac:dyDescent="0.25">
      <c r="A254" s="145">
        <v>2.5</v>
      </c>
    </row>
    <row r="255" spans="1:1" x14ac:dyDescent="0.25">
      <c r="A255" s="145">
        <v>5.6000000000000005</v>
      </c>
    </row>
    <row r="256" spans="1:1" x14ac:dyDescent="0.25">
      <c r="A256" s="145">
        <v>5.4</v>
      </c>
    </row>
    <row r="257" spans="1:1" x14ac:dyDescent="0.25">
      <c r="A257" s="145">
        <v>5.2</v>
      </c>
    </row>
    <row r="258" spans="1:1" x14ac:dyDescent="0.25">
      <c r="A258" s="145">
        <v>5.5</v>
      </c>
    </row>
    <row r="259" spans="1:1" x14ac:dyDescent="0.25">
      <c r="A259" s="145">
        <v>4</v>
      </c>
    </row>
    <row r="260" spans="1:1" x14ac:dyDescent="0.25">
      <c r="A260" s="145">
        <v>4.3</v>
      </c>
    </row>
    <row r="261" spans="1:1" x14ac:dyDescent="0.25">
      <c r="A261" s="145">
        <v>2</v>
      </c>
    </row>
    <row r="262" spans="1:1" x14ac:dyDescent="0.25">
      <c r="A262" s="145">
        <v>3</v>
      </c>
    </row>
    <row r="263" spans="1:1" x14ac:dyDescent="0.25">
      <c r="A263" s="145">
        <v>2.1</v>
      </c>
    </row>
    <row r="264" spans="1:1" x14ac:dyDescent="0.25">
      <c r="A264" s="145">
        <v>1.9</v>
      </c>
    </row>
    <row r="265" spans="1:1" x14ac:dyDescent="0.25">
      <c r="A265" s="145">
        <v>3.8000000000000003</v>
      </c>
    </row>
    <row r="266" spans="1:1" x14ac:dyDescent="0.25">
      <c r="A266" s="145">
        <v>3.5</v>
      </c>
    </row>
    <row r="267" spans="1:1" x14ac:dyDescent="0.25">
      <c r="A267" s="145">
        <v>0.8</v>
      </c>
    </row>
    <row r="268" spans="1:1" x14ac:dyDescent="0.25">
      <c r="A268" s="145">
        <v>2.3000000000000003</v>
      </c>
    </row>
    <row r="269" spans="1:1" x14ac:dyDescent="0.25">
      <c r="A269" s="145">
        <v>2.9000000000000004</v>
      </c>
    </row>
    <row r="270" spans="1:1" x14ac:dyDescent="0.25">
      <c r="A270" s="145">
        <v>2.5</v>
      </c>
    </row>
    <row r="271" spans="1:1" x14ac:dyDescent="0.25">
      <c r="A271" s="145">
        <v>0.5</v>
      </c>
    </row>
    <row r="272" spans="1:1" x14ac:dyDescent="0.25">
      <c r="A272" s="145">
        <v>0.30000000000000004</v>
      </c>
    </row>
    <row r="273" spans="1:1" x14ac:dyDescent="0.25">
      <c r="A273" s="145">
        <v>5.5</v>
      </c>
    </row>
    <row r="274" spans="1:1" x14ac:dyDescent="0.25">
      <c r="A274" s="145">
        <v>4.2</v>
      </c>
    </row>
    <row r="275" spans="1:1" x14ac:dyDescent="0.25">
      <c r="A275" s="145">
        <v>0.7</v>
      </c>
    </row>
    <row r="276" spans="1:1" x14ac:dyDescent="0.25">
      <c r="A276" s="145">
        <v>1.2</v>
      </c>
    </row>
    <row r="277" spans="1:1" x14ac:dyDescent="0.25">
      <c r="A277" s="145">
        <v>1.3</v>
      </c>
    </row>
    <row r="278" spans="1:1" x14ac:dyDescent="0.25">
      <c r="A278" s="145">
        <v>2.6</v>
      </c>
    </row>
    <row r="279" spans="1:1" x14ac:dyDescent="0.25">
      <c r="A279" s="145">
        <v>1.8</v>
      </c>
    </row>
    <row r="280" spans="1:1" x14ac:dyDescent="0.25">
      <c r="A280" s="145">
        <v>2</v>
      </c>
    </row>
    <row r="281" spans="1:1" x14ac:dyDescent="0.25">
      <c r="A281" s="145">
        <v>0.5</v>
      </c>
    </row>
    <row r="282" spans="1:1" x14ac:dyDescent="0.25">
      <c r="A282" s="145">
        <v>2.2000000000000002</v>
      </c>
    </row>
    <row r="283" spans="1:1" x14ac:dyDescent="0.25">
      <c r="A283" s="145">
        <v>2.9000000000000004</v>
      </c>
    </row>
    <row r="284" spans="1:1" x14ac:dyDescent="0.25">
      <c r="A284" s="145">
        <v>2.3000000000000003</v>
      </c>
    </row>
    <row r="285" spans="1:1" x14ac:dyDescent="0.25">
      <c r="A285" s="145">
        <v>2.8000000000000003</v>
      </c>
    </row>
    <row r="286" spans="1:1" x14ac:dyDescent="0.25">
      <c r="A286" s="145">
        <v>3.2</v>
      </c>
    </row>
    <row r="287" spans="1:1" x14ac:dyDescent="0.25">
      <c r="A287" s="145">
        <v>1</v>
      </c>
    </row>
    <row r="288" spans="1:1" x14ac:dyDescent="0.25">
      <c r="A288" s="145">
        <v>2.8000000000000003</v>
      </c>
    </row>
    <row r="289" spans="1:1" x14ac:dyDescent="0.25">
      <c r="A289" s="145">
        <v>1.4</v>
      </c>
    </row>
    <row r="290" spans="1:1" x14ac:dyDescent="0.25">
      <c r="A290" s="145">
        <v>1.7</v>
      </c>
    </row>
    <row r="291" spans="1:1" x14ac:dyDescent="0.25">
      <c r="A291" s="145">
        <v>1.8</v>
      </c>
    </row>
    <row r="292" spans="1:1" x14ac:dyDescent="0.25">
      <c r="A292" s="145">
        <v>6.1000000000000005</v>
      </c>
    </row>
    <row r="293" spans="1:1" x14ac:dyDescent="0.25">
      <c r="A293" s="145">
        <v>2.2000000000000002</v>
      </c>
    </row>
    <row r="294" spans="1:1" x14ac:dyDescent="0.25">
      <c r="A294" s="145">
        <v>3.2</v>
      </c>
    </row>
    <row r="295" spans="1:1" x14ac:dyDescent="0.25">
      <c r="A295" s="145">
        <v>3.7</v>
      </c>
    </row>
    <row r="296" spans="1:1" x14ac:dyDescent="0.25">
      <c r="A296" s="145">
        <v>4.6000000000000005</v>
      </c>
    </row>
    <row r="297" spans="1:1" x14ac:dyDescent="0.25">
      <c r="A297" s="145">
        <v>3.5</v>
      </c>
    </row>
    <row r="298" spans="1:1" x14ac:dyDescent="0.25">
      <c r="A298" s="145">
        <v>2.6</v>
      </c>
    </row>
    <row r="299" spans="1:1" x14ac:dyDescent="0.25">
      <c r="A299" s="145">
        <v>1.5</v>
      </c>
    </row>
    <row r="300" spans="1:1" x14ac:dyDescent="0.25">
      <c r="A300" s="145">
        <v>4.0999999999999996</v>
      </c>
    </row>
    <row r="301" spans="1:1" x14ac:dyDescent="0.25">
      <c r="A301" s="145">
        <v>3.7</v>
      </c>
    </row>
    <row r="302" spans="1:1" x14ac:dyDescent="0.25">
      <c r="A302" s="145">
        <v>0.4</v>
      </c>
    </row>
    <row r="303" spans="1:1" x14ac:dyDescent="0.25">
      <c r="A303" s="145">
        <v>3.7</v>
      </c>
    </row>
    <row r="304" spans="1:1" x14ac:dyDescent="0.25">
      <c r="A304" s="145">
        <v>4.8</v>
      </c>
    </row>
    <row r="305" spans="1:1" x14ac:dyDescent="0.25">
      <c r="A305" s="145">
        <v>0.5</v>
      </c>
    </row>
    <row r="306" spans="1:1" x14ac:dyDescent="0.25">
      <c r="A306" s="145">
        <v>0.4</v>
      </c>
    </row>
    <row r="307" spans="1:1" x14ac:dyDescent="0.25">
      <c r="A307" s="145">
        <v>4.5</v>
      </c>
    </row>
    <row r="308" spans="1:1" x14ac:dyDescent="0.25">
      <c r="A308" s="145">
        <v>2.8000000000000003</v>
      </c>
    </row>
    <row r="309" spans="1:1" x14ac:dyDescent="0.25">
      <c r="A309" s="145">
        <v>2.8000000000000003</v>
      </c>
    </row>
    <row r="310" spans="1:1" x14ac:dyDescent="0.25">
      <c r="A310" s="145">
        <v>2.6</v>
      </c>
    </row>
    <row r="311" spans="1:1" x14ac:dyDescent="0.25">
      <c r="A311" s="145">
        <v>3.2</v>
      </c>
    </row>
    <row r="312" spans="1:1" x14ac:dyDescent="0.25">
      <c r="A312" s="145">
        <v>2.7</v>
      </c>
    </row>
    <row r="313" spans="1:1" x14ac:dyDescent="0.25">
      <c r="A313" s="145">
        <v>3.9000000000000004</v>
      </c>
    </row>
    <row r="314" spans="1:1" x14ac:dyDescent="0.25">
      <c r="A314" s="145">
        <v>1.8</v>
      </c>
    </row>
    <row r="315" spans="1:1" x14ac:dyDescent="0.25">
      <c r="A315" s="145">
        <v>1.7</v>
      </c>
    </row>
    <row r="316" spans="1:1" x14ac:dyDescent="0.25">
      <c r="A316" s="145">
        <v>2</v>
      </c>
    </row>
    <row r="317" spans="1:1" x14ac:dyDescent="0.25">
      <c r="A317" s="145">
        <v>2</v>
      </c>
    </row>
    <row r="318" spans="1:1" x14ac:dyDescent="0.25">
      <c r="A318" s="145">
        <v>3</v>
      </c>
    </row>
    <row r="319" spans="1:1" x14ac:dyDescent="0.25">
      <c r="A319" s="145">
        <v>0.4</v>
      </c>
    </row>
    <row r="320" spans="1:1" x14ac:dyDescent="0.25">
      <c r="A320" s="145">
        <v>1.7</v>
      </c>
    </row>
    <row r="321" spans="1:1" x14ac:dyDescent="0.25">
      <c r="A321" s="145">
        <v>3.5</v>
      </c>
    </row>
    <row r="322" spans="1:1" x14ac:dyDescent="0.25">
      <c r="A322" s="145">
        <v>1.8</v>
      </c>
    </row>
    <row r="323" spans="1:1" x14ac:dyDescent="0.25">
      <c r="A323" s="145">
        <v>4.0999999999999996</v>
      </c>
    </row>
    <row r="324" spans="1:1" x14ac:dyDescent="0.25">
      <c r="A324" s="145">
        <v>4</v>
      </c>
    </row>
    <row r="325" spans="1:1" x14ac:dyDescent="0.25">
      <c r="A325" s="145">
        <v>4.0999999999999996</v>
      </c>
    </row>
    <row r="326" spans="1:1" x14ac:dyDescent="0.25">
      <c r="A326" s="145">
        <v>5.9</v>
      </c>
    </row>
    <row r="327" spans="1:1" x14ac:dyDescent="0.25">
      <c r="A327" s="145">
        <v>2.1</v>
      </c>
    </row>
    <row r="328" spans="1:1" x14ac:dyDescent="0.25">
      <c r="A328" s="145">
        <v>2.1</v>
      </c>
    </row>
    <row r="329" spans="1:1" x14ac:dyDescent="0.25">
      <c r="A329" s="145">
        <v>4.2</v>
      </c>
    </row>
    <row r="330" spans="1:1" x14ac:dyDescent="0.25">
      <c r="A330" s="145">
        <v>5.4</v>
      </c>
    </row>
    <row r="331" spans="1:1" x14ac:dyDescent="0.25">
      <c r="A331" s="145">
        <v>6.4</v>
      </c>
    </row>
    <row r="332" spans="1:1" x14ac:dyDescent="0.25">
      <c r="A332" s="145">
        <v>1.4</v>
      </c>
    </row>
    <row r="333" spans="1:1" x14ac:dyDescent="0.25">
      <c r="A333" s="145">
        <v>3.3000000000000003</v>
      </c>
    </row>
    <row r="334" spans="1:1" x14ac:dyDescent="0.25">
      <c r="A334" s="145">
        <v>2</v>
      </c>
    </row>
    <row r="335" spans="1:1" x14ac:dyDescent="0.25">
      <c r="A335" s="145">
        <v>4.6000000000000005</v>
      </c>
    </row>
    <row r="336" spans="1:1" x14ac:dyDescent="0.25">
      <c r="A336" s="145">
        <v>5</v>
      </c>
    </row>
    <row r="337" spans="1:1" x14ac:dyDescent="0.25">
      <c r="A337" s="145">
        <v>4.9000000000000004</v>
      </c>
    </row>
    <row r="338" spans="1:1" x14ac:dyDescent="0.25">
      <c r="A338" s="145">
        <v>1.5999999999999999</v>
      </c>
    </row>
    <row r="339" spans="1:1" x14ac:dyDescent="0.25">
      <c r="A339" s="145">
        <v>4.8</v>
      </c>
    </row>
    <row r="340" spans="1:1" x14ac:dyDescent="0.25">
      <c r="A340" s="145">
        <v>3</v>
      </c>
    </row>
    <row r="341" spans="1:1" x14ac:dyDescent="0.25">
      <c r="A341" s="145">
        <v>1.1000000000000001</v>
      </c>
    </row>
    <row r="342" spans="1:1" x14ac:dyDescent="0.25">
      <c r="A342" s="145">
        <v>2.4000000000000004</v>
      </c>
    </row>
    <row r="343" spans="1:1" x14ac:dyDescent="0.25">
      <c r="A343" s="145">
        <v>5.6000000000000005</v>
      </c>
    </row>
    <row r="344" spans="1:1" x14ac:dyDescent="0.25">
      <c r="A344" s="145">
        <v>4.9000000000000004</v>
      </c>
    </row>
    <row r="345" spans="1:1" x14ac:dyDescent="0.25">
      <c r="A345" s="145">
        <v>3.8000000000000003</v>
      </c>
    </row>
    <row r="346" spans="1:1" x14ac:dyDescent="0.25">
      <c r="A346" s="145">
        <v>2.7</v>
      </c>
    </row>
    <row r="347" spans="1:1" x14ac:dyDescent="0.25">
      <c r="A347" s="145">
        <v>4.2</v>
      </c>
    </row>
    <row r="348" spans="1:1" x14ac:dyDescent="0.25">
      <c r="A348" s="145">
        <v>3.4000000000000004</v>
      </c>
    </row>
    <row r="349" spans="1:1" x14ac:dyDescent="0.25">
      <c r="A349" s="145">
        <v>0.30000000000000004</v>
      </c>
    </row>
    <row r="350" spans="1:1" x14ac:dyDescent="0.25">
      <c r="A350" s="145">
        <v>0.30000000000000004</v>
      </c>
    </row>
    <row r="351" spans="1:1" x14ac:dyDescent="0.25">
      <c r="A351" s="145">
        <v>6.3</v>
      </c>
    </row>
    <row r="352" spans="1:1" x14ac:dyDescent="0.25">
      <c r="A352" s="145">
        <v>4</v>
      </c>
    </row>
    <row r="353" spans="1:1" x14ac:dyDescent="0.25">
      <c r="A353" s="145">
        <v>0.7</v>
      </c>
    </row>
    <row r="354" spans="1:1" x14ac:dyDescent="0.25">
      <c r="A354" s="145">
        <v>2.9000000000000004</v>
      </c>
    </row>
    <row r="355" spans="1:1" x14ac:dyDescent="0.25">
      <c r="A355" s="145">
        <v>4</v>
      </c>
    </row>
    <row r="356" spans="1:1" x14ac:dyDescent="0.25">
      <c r="A356" s="145">
        <v>3.6</v>
      </c>
    </row>
    <row r="357" spans="1:1" x14ac:dyDescent="0.25">
      <c r="A357" s="145">
        <v>4.2</v>
      </c>
    </row>
    <row r="358" spans="1:1" x14ac:dyDescent="0.25">
      <c r="A358" s="145">
        <v>4.9000000000000004</v>
      </c>
    </row>
    <row r="359" spans="1:1" x14ac:dyDescent="0.25">
      <c r="A359" s="145">
        <v>4.7</v>
      </c>
    </row>
    <row r="360" spans="1:1" x14ac:dyDescent="0.25">
      <c r="A360" s="145">
        <v>2.8000000000000003</v>
      </c>
    </row>
    <row r="361" spans="1:1" x14ac:dyDescent="0.25">
      <c r="A361" s="145">
        <v>3.7</v>
      </c>
    </row>
    <row r="362" spans="1:1" x14ac:dyDescent="0.25">
      <c r="A362" s="145">
        <v>3.1</v>
      </c>
    </row>
    <row r="363" spans="1:1" x14ac:dyDescent="0.25">
      <c r="A363" s="145">
        <v>1.7</v>
      </c>
    </row>
    <row r="364" spans="1:1" x14ac:dyDescent="0.25">
      <c r="A364" s="145">
        <v>1.3</v>
      </c>
    </row>
    <row r="365" spans="1:1" x14ac:dyDescent="0.25">
      <c r="A365" s="145">
        <v>2.4000000000000004</v>
      </c>
    </row>
    <row r="366" spans="1:1" x14ac:dyDescent="0.25">
      <c r="A366" s="145">
        <v>1.2</v>
      </c>
    </row>
    <row r="367" spans="1:1" x14ac:dyDescent="0.25">
      <c r="A367" s="145">
        <v>1.5</v>
      </c>
    </row>
    <row r="368" spans="1:1" x14ac:dyDescent="0.25">
      <c r="A368" s="145">
        <v>1.8</v>
      </c>
    </row>
    <row r="369" spans="1:1" x14ac:dyDescent="0.25">
      <c r="A369" s="145">
        <v>1.9</v>
      </c>
    </row>
    <row r="370" spans="1:1" x14ac:dyDescent="0.25">
      <c r="A370" s="145">
        <v>1.5</v>
      </c>
    </row>
    <row r="371" spans="1:1" x14ac:dyDescent="0.25">
      <c r="A371" s="145">
        <v>3.3000000000000003</v>
      </c>
    </row>
    <row r="372" spans="1:1" x14ac:dyDescent="0.25">
      <c r="A372" s="145">
        <v>2.7</v>
      </c>
    </row>
    <row r="373" spans="1:1" x14ac:dyDescent="0.25">
      <c r="A373" s="145">
        <v>4.8</v>
      </c>
    </row>
    <row r="374" spans="1:1" x14ac:dyDescent="0.25">
      <c r="A374" s="145">
        <v>3.9000000000000004</v>
      </c>
    </row>
    <row r="375" spans="1:1" x14ac:dyDescent="0.25">
      <c r="A375" s="145">
        <v>1</v>
      </c>
    </row>
    <row r="376" spans="1:1" x14ac:dyDescent="0.25">
      <c r="A376" s="145">
        <v>3.2</v>
      </c>
    </row>
    <row r="377" spans="1:1" x14ac:dyDescent="0.25">
      <c r="A377" s="145">
        <v>4.2</v>
      </c>
    </row>
    <row r="378" spans="1:1" x14ac:dyDescent="0.25">
      <c r="A378" s="145">
        <v>6.2</v>
      </c>
    </row>
    <row r="379" spans="1:1" x14ac:dyDescent="0.25">
      <c r="A379" s="145">
        <v>6.1000000000000005</v>
      </c>
    </row>
    <row r="380" spans="1:1" x14ac:dyDescent="0.25">
      <c r="A380" s="145">
        <v>2.1</v>
      </c>
    </row>
    <row r="381" spans="1:1" x14ac:dyDescent="0.25">
      <c r="A381" s="145">
        <v>3.6</v>
      </c>
    </row>
    <row r="382" spans="1:1" x14ac:dyDescent="0.25">
      <c r="A382" s="145">
        <v>3</v>
      </c>
    </row>
    <row r="383" spans="1:1" x14ac:dyDescent="0.25">
      <c r="A383" s="145">
        <v>1.5</v>
      </c>
    </row>
    <row r="384" spans="1:1" x14ac:dyDescent="0.25">
      <c r="A384" s="145">
        <v>1.3</v>
      </c>
    </row>
    <row r="385" spans="1:1" x14ac:dyDescent="0.25">
      <c r="A385" s="145">
        <v>1.5999999999999999</v>
      </c>
    </row>
    <row r="386" spans="1:1" x14ac:dyDescent="0.25">
      <c r="A386" s="145">
        <v>1.5999999999999999</v>
      </c>
    </row>
    <row r="387" spans="1:1" x14ac:dyDescent="0.25">
      <c r="A387" s="145">
        <v>1.5999999999999999</v>
      </c>
    </row>
    <row r="388" spans="1:1" x14ac:dyDescent="0.25">
      <c r="A388" s="145">
        <v>0.8</v>
      </c>
    </row>
    <row r="389" spans="1:1" x14ac:dyDescent="0.25">
      <c r="A389" s="145">
        <v>2</v>
      </c>
    </row>
    <row r="390" spans="1:1" x14ac:dyDescent="0.25">
      <c r="A390" s="145">
        <v>2.8000000000000003</v>
      </c>
    </row>
    <row r="391" spans="1:1" x14ac:dyDescent="0.25">
      <c r="A391" s="145">
        <v>4.5</v>
      </c>
    </row>
    <row r="392" spans="1:1" x14ac:dyDescent="0.25">
      <c r="A392" s="145">
        <v>2.2000000000000002</v>
      </c>
    </row>
    <row r="393" spans="1:1" x14ac:dyDescent="0.25">
      <c r="A393" s="145">
        <v>4.8</v>
      </c>
    </row>
    <row r="394" spans="1:1" x14ac:dyDescent="0.25">
      <c r="A394" s="145">
        <v>3.9000000000000004</v>
      </c>
    </row>
    <row r="395" spans="1:1" x14ac:dyDescent="0.25">
      <c r="A395" s="145">
        <v>4.2</v>
      </c>
    </row>
    <row r="396" spans="1:1" x14ac:dyDescent="0.25">
      <c r="A396" s="145">
        <v>3.4000000000000004</v>
      </c>
    </row>
    <row r="397" spans="1:1" x14ac:dyDescent="0.25">
      <c r="A397" s="145">
        <v>3.5</v>
      </c>
    </row>
    <row r="398" spans="1:1" x14ac:dyDescent="0.25">
      <c r="A398" s="145">
        <v>1.9</v>
      </c>
    </row>
    <row r="399" spans="1:1" x14ac:dyDescent="0.25">
      <c r="A399" s="145">
        <v>3</v>
      </c>
    </row>
    <row r="400" spans="1:1" x14ac:dyDescent="0.25">
      <c r="A400" s="145">
        <v>5.1000000000000005</v>
      </c>
    </row>
    <row r="401" spans="1:1" x14ac:dyDescent="0.25">
      <c r="A401" s="145">
        <v>1.5</v>
      </c>
    </row>
    <row r="402" spans="1:1" x14ac:dyDescent="0.25">
      <c r="A402" s="145">
        <v>1.2</v>
      </c>
    </row>
    <row r="403" spans="1:1" x14ac:dyDescent="0.25">
      <c r="A403" s="145">
        <v>0.4</v>
      </c>
    </row>
    <row r="404" spans="1:1" x14ac:dyDescent="0.25">
      <c r="A404" s="145">
        <v>2.9000000000000004</v>
      </c>
    </row>
    <row r="405" spans="1:1" x14ac:dyDescent="0.25">
      <c r="A405" s="145">
        <v>4.2</v>
      </c>
    </row>
    <row r="406" spans="1:1" x14ac:dyDescent="0.25">
      <c r="A406" s="145">
        <v>3.4000000000000004</v>
      </c>
    </row>
    <row r="407" spans="1:1" x14ac:dyDescent="0.25">
      <c r="A407" s="145">
        <v>4</v>
      </c>
    </row>
    <row r="408" spans="1:1" x14ac:dyDescent="0.25">
      <c r="A408" s="145">
        <v>1.4</v>
      </c>
    </row>
    <row r="409" spans="1:1" x14ac:dyDescent="0.25">
      <c r="A409" s="145">
        <v>2.1</v>
      </c>
    </row>
    <row r="410" spans="1:1" x14ac:dyDescent="0.25">
      <c r="A410" s="145">
        <v>1.3</v>
      </c>
    </row>
    <row r="411" spans="1:1" x14ac:dyDescent="0.25">
      <c r="A411" s="145">
        <v>2.5</v>
      </c>
    </row>
    <row r="412" spans="1:1" x14ac:dyDescent="0.25">
      <c r="A412" s="145">
        <v>3.8000000000000003</v>
      </c>
    </row>
    <row r="413" spans="1:1" x14ac:dyDescent="0.25">
      <c r="A413" s="145">
        <v>0.8</v>
      </c>
    </row>
    <row r="414" spans="1:1" x14ac:dyDescent="0.25">
      <c r="A414" s="145">
        <v>1.3</v>
      </c>
    </row>
    <row r="415" spans="1:1" x14ac:dyDescent="0.25">
      <c r="A415" s="145">
        <v>3.9000000000000004</v>
      </c>
    </row>
    <row r="416" spans="1:1" x14ac:dyDescent="0.25">
      <c r="A416" s="145">
        <v>1.5999999999999999</v>
      </c>
    </row>
    <row r="417" spans="1:1" x14ac:dyDescent="0.25">
      <c r="A417" s="145">
        <v>2.8000000000000003</v>
      </c>
    </row>
    <row r="418" spans="1:1" x14ac:dyDescent="0.25">
      <c r="A418" s="145">
        <v>3.8000000000000003</v>
      </c>
    </row>
    <row r="419" spans="1:1" x14ac:dyDescent="0.25">
      <c r="A419" s="145">
        <v>1.5999999999999999</v>
      </c>
    </row>
    <row r="420" spans="1:1" x14ac:dyDescent="0.25">
      <c r="A420" s="145">
        <v>3.9000000000000004</v>
      </c>
    </row>
    <row r="421" spans="1:1" x14ac:dyDescent="0.25">
      <c r="A421" s="145">
        <v>4.6000000000000005</v>
      </c>
    </row>
    <row r="422" spans="1:1" x14ac:dyDescent="0.25">
      <c r="A422" s="145">
        <v>4.3</v>
      </c>
    </row>
    <row r="423" spans="1:1" x14ac:dyDescent="0.25">
      <c r="A423" s="145">
        <v>0.4</v>
      </c>
    </row>
    <row r="424" spans="1:1" x14ac:dyDescent="0.25">
      <c r="A424" s="145">
        <v>0.7</v>
      </c>
    </row>
    <row r="425" spans="1:1" x14ac:dyDescent="0.25">
      <c r="A425" s="145">
        <v>2.2000000000000002</v>
      </c>
    </row>
    <row r="426" spans="1:1" x14ac:dyDescent="0.25">
      <c r="A426" s="145">
        <v>0.2</v>
      </c>
    </row>
    <row r="427" spans="1:1" x14ac:dyDescent="0.25">
      <c r="A427" s="145">
        <v>1.8</v>
      </c>
    </row>
    <row r="428" spans="1:1" x14ac:dyDescent="0.25">
      <c r="A428" s="145">
        <v>3.7</v>
      </c>
    </row>
    <row r="429" spans="1:1" x14ac:dyDescent="0.25">
      <c r="A429" s="145">
        <v>3.5</v>
      </c>
    </row>
    <row r="430" spans="1:1" x14ac:dyDescent="0.25">
      <c r="A430" s="145">
        <v>3</v>
      </c>
    </row>
    <row r="431" spans="1:1" x14ac:dyDescent="0.25">
      <c r="A431" s="145">
        <v>2.8000000000000003</v>
      </c>
    </row>
    <row r="432" spans="1:1" x14ac:dyDescent="0.25">
      <c r="A432" s="145">
        <v>0.4</v>
      </c>
    </row>
    <row r="433" spans="1:1" x14ac:dyDescent="0.25">
      <c r="A433" s="145">
        <v>2.3000000000000003</v>
      </c>
    </row>
    <row r="434" spans="1:1" x14ac:dyDescent="0.25">
      <c r="A434" s="145">
        <v>3.4000000000000004</v>
      </c>
    </row>
    <row r="435" spans="1:1" x14ac:dyDescent="0.25">
      <c r="A435" s="145">
        <v>1.7</v>
      </c>
    </row>
    <row r="436" spans="1:1" x14ac:dyDescent="0.25">
      <c r="A436" s="145">
        <v>2.2000000000000002</v>
      </c>
    </row>
    <row r="437" spans="1:1" x14ac:dyDescent="0.25">
      <c r="A437" s="145">
        <v>1.9</v>
      </c>
    </row>
    <row r="438" spans="1:1" x14ac:dyDescent="0.25">
      <c r="A438" s="145">
        <v>3</v>
      </c>
    </row>
    <row r="439" spans="1:1" x14ac:dyDescent="0.25">
      <c r="A439" s="145">
        <v>5.2</v>
      </c>
    </row>
    <row r="440" spans="1:1" x14ac:dyDescent="0.25">
      <c r="A440" s="145">
        <v>5.4</v>
      </c>
    </row>
    <row r="441" spans="1:1" x14ac:dyDescent="0.25">
      <c r="A441" s="145">
        <v>5.6000000000000005</v>
      </c>
    </row>
    <row r="442" spans="1:1" x14ac:dyDescent="0.25">
      <c r="A442" s="145">
        <v>3.2</v>
      </c>
    </row>
    <row r="443" spans="1:1" x14ac:dyDescent="0.25">
      <c r="A443" s="145">
        <v>4.6000000000000005</v>
      </c>
    </row>
    <row r="444" spans="1:1" x14ac:dyDescent="0.25">
      <c r="A444" s="145">
        <v>4</v>
      </c>
    </row>
    <row r="445" spans="1:1" x14ac:dyDescent="0.25">
      <c r="A445" s="145">
        <v>2</v>
      </c>
    </row>
    <row r="446" spans="1:1" x14ac:dyDescent="0.25">
      <c r="A446" s="145">
        <v>1</v>
      </c>
    </row>
    <row r="447" spans="1:1" x14ac:dyDescent="0.25">
      <c r="A447" s="145">
        <v>2.8000000000000003</v>
      </c>
    </row>
    <row r="448" spans="1:1" x14ac:dyDescent="0.25">
      <c r="A448" s="145">
        <v>0.5</v>
      </c>
    </row>
    <row r="449" spans="1:1" x14ac:dyDescent="0.25">
      <c r="A449" s="145">
        <v>3.3000000000000003</v>
      </c>
    </row>
    <row r="450" spans="1:1" x14ac:dyDescent="0.25">
      <c r="A450" s="145">
        <v>2.7</v>
      </c>
    </row>
    <row r="451" spans="1:1" x14ac:dyDescent="0.25">
      <c r="A451" s="145">
        <v>2.4000000000000004</v>
      </c>
    </row>
    <row r="452" spans="1:1" x14ac:dyDescent="0.25">
      <c r="A452" s="145">
        <v>4</v>
      </c>
    </row>
    <row r="453" spans="1:1" x14ac:dyDescent="0.25">
      <c r="A453" s="145">
        <v>7</v>
      </c>
    </row>
    <row r="454" spans="1:1" x14ac:dyDescent="0.25">
      <c r="A454" s="145">
        <v>2.7</v>
      </c>
    </row>
    <row r="455" spans="1:1" x14ac:dyDescent="0.25">
      <c r="A455" s="145">
        <v>2.1</v>
      </c>
    </row>
    <row r="456" spans="1:1" x14ac:dyDescent="0.25">
      <c r="A456" s="145">
        <v>2.6</v>
      </c>
    </row>
    <row r="457" spans="1:1" x14ac:dyDescent="0.25">
      <c r="A457" s="145">
        <v>3.8000000000000003</v>
      </c>
    </row>
    <row r="458" spans="1:1" x14ac:dyDescent="0.25">
      <c r="A458" s="145">
        <v>5.3</v>
      </c>
    </row>
    <row r="459" spans="1:1" x14ac:dyDescent="0.25">
      <c r="A459" s="145">
        <v>1.5999999999999999</v>
      </c>
    </row>
    <row r="460" spans="1:1" x14ac:dyDescent="0.25">
      <c r="A460" s="145">
        <v>4.3</v>
      </c>
    </row>
    <row r="461" spans="1:1" x14ac:dyDescent="0.25">
      <c r="A461" s="145">
        <v>4.8</v>
      </c>
    </row>
    <row r="462" spans="1:1" x14ac:dyDescent="0.25">
      <c r="A462" s="145">
        <v>2</v>
      </c>
    </row>
    <row r="463" spans="1:1" x14ac:dyDescent="0.25">
      <c r="A463" s="145">
        <v>2</v>
      </c>
    </row>
    <row r="464" spans="1:1" x14ac:dyDescent="0.25">
      <c r="A464" s="145">
        <v>0.4</v>
      </c>
    </row>
    <row r="465" spans="1:1" x14ac:dyDescent="0.25">
      <c r="A465" s="145">
        <v>1.5999999999999999</v>
      </c>
    </row>
    <row r="466" spans="1:1" x14ac:dyDescent="0.25">
      <c r="A466" s="145">
        <v>2.2000000000000002</v>
      </c>
    </row>
    <row r="467" spans="1:1" x14ac:dyDescent="0.25">
      <c r="A467" s="145">
        <v>0.60000000000000009</v>
      </c>
    </row>
    <row r="468" spans="1:1" x14ac:dyDescent="0.25">
      <c r="A468" s="145">
        <v>1.5</v>
      </c>
    </row>
    <row r="469" spans="1:1" x14ac:dyDescent="0.25">
      <c r="A469" s="145">
        <v>2.1</v>
      </c>
    </row>
    <row r="470" spans="1:1" x14ac:dyDescent="0.25">
      <c r="A470" s="145">
        <v>1.4</v>
      </c>
    </row>
    <row r="471" spans="1:1" x14ac:dyDescent="0.25">
      <c r="A471" s="145">
        <v>2.5</v>
      </c>
    </row>
    <row r="472" spans="1:1" x14ac:dyDescent="0.25">
      <c r="A472" s="145">
        <v>3.2</v>
      </c>
    </row>
    <row r="473" spans="1:1" x14ac:dyDescent="0.25">
      <c r="A473" s="145">
        <v>3</v>
      </c>
    </row>
    <row r="474" spans="1:1" x14ac:dyDescent="0.25">
      <c r="A474" s="145">
        <v>3.4000000000000004</v>
      </c>
    </row>
    <row r="475" spans="1:1" x14ac:dyDescent="0.25">
      <c r="A475" s="145">
        <v>4</v>
      </c>
    </row>
    <row r="476" spans="1:1" x14ac:dyDescent="0.25">
      <c r="A476" s="145">
        <v>5.6000000000000005</v>
      </c>
    </row>
    <row r="477" spans="1:1" x14ac:dyDescent="0.25">
      <c r="A477" s="145">
        <v>1.8</v>
      </c>
    </row>
    <row r="478" spans="1:1" x14ac:dyDescent="0.25">
      <c r="A478" s="145">
        <v>1.5999999999999999</v>
      </c>
    </row>
    <row r="479" spans="1:1" x14ac:dyDescent="0.25">
      <c r="A479" s="145">
        <v>3</v>
      </c>
    </row>
    <row r="480" spans="1:1" x14ac:dyDescent="0.25">
      <c r="A480" s="145">
        <v>5.2</v>
      </c>
    </row>
    <row r="481" spans="1:1" x14ac:dyDescent="0.25">
      <c r="A481" s="145">
        <v>2</v>
      </c>
    </row>
    <row r="482" spans="1:1" x14ac:dyDescent="0.25">
      <c r="A482" s="145">
        <v>1</v>
      </c>
    </row>
    <row r="483" spans="1:1" x14ac:dyDescent="0.25">
      <c r="A483" s="145">
        <v>4.7</v>
      </c>
    </row>
    <row r="484" spans="1:1" x14ac:dyDescent="0.25">
      <c r="A484" s="145">
        <v>1.3</v>
      </c>
    </row>
    <row r="485" spans="1:1" x14ac:dyDescent="0.25">
      <c r="A485" s="145">
        <v>5.4</v>
      </c>
    </row>
    <row r="486" spans="1:1" x14ac:dyDescent="0.25">
      <c r="A486" s="145">
        <v>5.4</v>
      </c>
    </row>
    <row r="487" spans="1:1" x14ac:dyDescent="0.25">
      <c r="A487" s="145">
        <v>3.2</v>
      </c>
    </row>
    <row r="488" spans="1:1" x14ac:dyDescent="0.25">
      <c r="A488" s="145">
        <v>3.5</v>
      </c>
    </row>
    <row r="489" spans="1:1" x14ac:dyDescent="0.25">
      <c r="A489" s="145">
        <v>3.7</v>
      </c>
    </row>
    <row r="490" spans="1:1" x14ac:dyDescent="0.25">
      <c r="A490" s="145">
        <v>2.2000000000000002</v>
      </c>
    </row>
    <row r="491" spans="1:1" x14ac:dyDescent="0.25">
      <c r="A491" s="145">
        <v>0.4</v>
      </c>
    </row>
    <row r="492" spans="1:1" x14ac:dyDescent="0.25">
      <c r="A492" s="145">
        <v>1.5999999999999999</v>
      </c>
    </row>
    <row r="493" spans="1:1" x14ac:dyDescent="0.25">
      <c r="A493" s="145">
        <v>2.6</v>
      </c>
    </row>
    <row r="494" spans="1:1" x14ac:dyDescent="0.25">
      <c r="A494" s="145">
        <v>0.89999999999999991</v>
      </c>
    </row>
    <row r="495" spans="1:1" x14ac:dyDescent="0.25">
      <c r="A495" s="145">
        <v>4.8</v>
      </c>
    </row>
    <row r="496" spans="1:1" x14ac:dyDescent="0.25">
      <c r="A496" s="145">
        <v>3</v>
      </c>
    </row>
    <row r="497" spans="1:1" x14ac:dyDescent="0.25">
      <c r="A497" s="145">
        <v>5.5</v>
      </c>
    </row>
    <row r="498" spans="1:1" x14ac:dyDescent="0.25">
      <c r="A498" s="145">
        <v>3.9000000000000004</v>
      </c>
    </row>
    <row r="499" spans="1:1" x14ac:dyDescent="0.25">
      <c r="A499" s="145">
        <v>2.4000000000000004</v>
      </c>
    </row>
    <row r="500" spans="1:1" x14ac:dyDescent="0.25">
      <c r="A500" s="145">
        <v>2.2000000000000002</v>
      </c>
    </row>
    <row r="501" spans="1:1" x14ac:dyDescent="0.25">
      <c r="A501" s="145">
        <v>1.1000000000000001</v>
      </c>
    </row>
    <row r="502" spans="1:1" x14ac:dyDescent="0.25">
      <c r="A502" s="145">
        <v>3.3000000000000003</v>
      </c>
    </row>
    <row r="503" spans="1:1" x14ac:dyDescent="0.25">
      <c r="A503" s="145">
        <v>1.9</v>
      </c>
    </row>
    <row r="504" spans="1:1" x14ac:dyDescent="0.25">
      <c r="A504" s="145">
        <v>0.89999999999999991</v>
      </c>
    </row>
    <row r="505" spans="1:1" x14ac:dyDescent="0.25">
      <c r="A505" s="145">
        <v>3.7</v>
      </c>
    </row>
    <row r="506" spans="1:1" x14ac:dyDescent="0.25">
      <c r="A506" s="145">
        <v>4.2</v>
      </c>
    </row>
    <row r="507" spans="1:1" x14ac:dyDescent="0.25">
      <c r="A507" s="145">
        <v>3.2</v>
      </c>
    </row>
    <row r="508" spans="1:1" x14ac:dyDescent="0.25">
      <c r="A508" s="145">
        <v>4.5</v>
      </c>
    </row>
    <row r="509" spans="1:1" x14ac:dyDescent="0.25">
      <c r="A509" s="145">
        <v>4.4000000000000004</v>
      </c>
    </row>
    <row r="510" spans="1:1" x14ac:dyDescent="0.25">
      <c r="A510" s="145">
        <v>0.89999999999999991</v>
      </c>
    </row>
    <row r="511" spans="1:1" x14ac:dyDescent="0.25">
      <c r="A511" s="145">
        <v>3</v>
      </c>
    </row>
    <row r="512" spans="1:1" x14ac:dyDescent="0.25">
      <c r="A512" s="145">
        <v>2.8000000000000003</v>
      </c>
    </row>
    <row r="513" spans="1:1" x14ac:dyDescent="0.25">
      <c r="A513" s="145">
        <v>3.4000000000000004</v>
      </c>
    </row>
    <row r="514" spans="1:1" x14ac:dyDescent="0.25">
      <c r="A514" s="145">
        <v>3.5</v>
      </c>
    </row>
    <row r="515" spans="1:1" x14ac:dyDescent="0.25">
      <c r="A515" s="145">
        <v>2.3000000000000003</v>
      </c>
    </row>
    <row r="516" spans="1:1" x14ac:dyDescent="0.25">
      <c r="A516" s="145">
        <v>2.2000000000000002</v>
      </c>
    </row>
    <row r="517" spans="1:1" x14ac:dyDescent="0.25">
      <c r="A517" s="145">
        <v>1</v>
      </c>
    </row>
    <row r="518" spans="1:1" x14ac:dyDescent="0.25">
      <c r="A518" s="145">
        <v>1.7</v>
      </c>
    </row>
    <row r="519" spans="1:1" x14ac:dyDescent="0.25">
      <c r="A519" s="145">
        <v>3.1</v>
      </c>
    </row>
    <row r="520" spans="1:1" x14ac:dyDescent="0.25">
      <c r="A520" s="145">
        <v>2.1</v>
      </c>
    </row>
    <row r="521" spans="1:1" x14ac:dyDescent="0.25">
      <c r="A521" s="145">
        <v>0.89999999999999991</v>
      </c>
    </row>
    <row r="522" spans="1:1" x14ac:dyDescent="0.25">
      <c r="A522" s="145">
        <v>1.8</v>
      </c>
    </row>
    <row r="523" spans="1:1" x14ac:dyDescent="0.25">
      <c r="A523" s="145">
        <v>3</v>
      </c>
    </row>
    <row r="524" spans="1:1" x14ac:dyDescent="0.25">
      <c r="A524" s="145">
        <v>1</v>
      </c>
    </row>
    <row r="525" spans="1:1" x14ac:dyDescent="0.25">
      <c r="A525" s="145">
        <v>1.2</v>
      </c>
    </row>
    <row r="526" spans="1:1" x14ac:dyDescent="0.25">
      <c r="A526" s="145">
        <v>3</v>
      </c>
    </row>
    <row r="527" spans="1:1" x14ac:dyDescent="0.25">
      <c r="A527" s="145">
        <v>4.3</v>
      </c>
    </row>
    <row r="528" spans="1:1" x14ac:dyDescent="0.25">
      <c r="A528" s="145">
        <v>3.7</v>
      </c>
    </row>
    <row r="529" spans="1:1" x14ac:dyDescent="0.25">
      <c r="A529" s="145">
        <v>1.5999999999999999</v>
      </c>
    </row>
    <row r="530" spans="1:1" x14ac:dyDescent="0.25">
      <c r="A530" s="145">
        <v>1.1000000000000001</v>
      </c>
    </row>
    <row r="531" spans="1:1" x14ac:dyDescent="0.25">
      <c r="A531" s="145">
        <v>0.8</v>
      </c>
    </row>
    <row r="532" spans="1:1" x14ac:dyDescent="0.25">
      <c r="A532" s="145">
        <v>1.7</v>
      </c>
    </row>
    <row r="533" spans="1:1" x14ac:dyDescent="0.25">
      <c r="A533" s="145">
        <v>1.1000000000000001</v>
      </c>
    </row>
    <row r="534" spans="1:1" x14ac:dyDescent="0.25">
      <c r="A534" s="145">
        <v>3.2</v>
      </c>
    </row>
    <row r="535" spans="1:1" x14ac:dyDescent="0.25">
      <c r="A535" s="145">
        <v>4.3</v>
      </c>
    </row>
    <row r="536" spans="1:1" x14ac:dyDescent="0.25">
      <c r="A536" s="145">
        <v>2.3000000000000003</v>
      </c>
    </row>
    <row r="537" spans="1:1" x14ac:dyDescent="0.25">
      <c r="A537" s="145">
        <v>4.6000000000000005</v>
      </c>
    </row>
    <row r="538" spans="1:1" x14ac:dyDescent="0.25">
      <c r="A538" s="145">
        <v>0.2</v>
      </c>
    </row>
    <row r="539" spans="1:1" x14ac:dyDescent="0.25">
      <c r="A539" s="145">
        <v>3.5</v>
      </c>
    </row>
    <row r="540" spans="1:1" x14ac:dyDescent="0.25">
      <c r="A540" s="145">
        <v>1.1000000000000001</v>
      </c>
    </row>
    <row r="541" spans="1:1" x14ac:dyDescent="0.25">
      <c r="A541" s="145">
        <v>1.9</v>
      </c>
    </row>
    <row r="542" spans="1:1" x14ac:dyDescent="0.25">
      <c r="A542" s="145">
        <v>1.8</v>
      </c>
    </row>
    <row r="543" spans="1:1" x14ac:dyDescent="0.25">
      <c r="A543" s="145">
        <v>2.2000000000000002</v>
      </c>
    </row>
    <row r="544" spans="1:1" x14ac:dyDescent="0.25">
      <c r="A544" s="145">
        <v>3.8000000000000003</v>
      </c>
    </row>
    <row r="545" spans="1:1" x14ac:dyDescent="0.25">
      <c r="A545" s="145">
        <v>2.5</v>
      </c>
    </row>
    <row r="546" spans="1:1" x14ac:dyDescent="0.25">
      <c r="A546" s="145">
        <v>3.4000000000000004</v>
      </c>
    </row>
    <row r="547" spans="1:1" x14ac:dyDescent="0.25">
      <c r="A547" s="145">
        <v>5.8</v>
      </c>
    </row>
    <row r="548" spans="1:1" x14ac:dyDescent="0.25">
      <c r="A548" s="145">
        <v>2.1</v>
      </c>
    </row>
    <row r="549" spans="1:1" x14ac:dyDescent="0.25">
      <c r="A549" s="145">
        <v>2.8000000000000003</v>
      </c>
    </row>
    <row r="550" spans="1:1" x14ac:dyDescent="0.25">
      <c r="A550" s="145">
        <v>2.2000000000000002</v>
      </c>
    </row>
    <row r="551" spans="1:1" x14ac:dyDescent="0.25">
      <c r="A551" s="145">
        <v>4.2</v>
      </c>
    </row>
    <row r="552" spans="1:1" x14ac:dyDescent="0.25">
      <c r="A552" s="145">
        <v>5.1000000000000005</v>
      </c>
    </row>
    <row r="553" spans="1:1" x14ac:dyDescent="0.25">
      <c r="A553" s="145">
        <v>2.3000000000000003</v>
      </c>
    </row>
    <row r="554" spans="1:1" x14ac:dyDescent="0.25">
      <c r="A554" s="145">
        <v>4.5</v>
      </c>
    </row>
    <row r="555" spans="1:1" x14ac:dyDescent="0.25">
      <c r="A555" s="145">
        <v>2.4000000000000004</v>
      </c>
    </row>
    <row r="556" spans="1:1" x14ac:dyDescent="0.25">
      <c r="A556" s="145">
        <v>4.4000000000000004</v>
      </c>
    </row>
    <row r="557" spans="1:1" x14ac:dyDescent="0.25">
      <c r="A557" s="145">
        <v>4.8</v>
      </c>
    </row>
    <row r="558" spans="1:1" x14ac:dyDescent="0.25">
      <c r="A558" s="145">
        <v>2.1</v>
      </c>
    </row>
    <row r="559" spans="1:1" x14ac:dyDescent="0.25">
      <c r="A559" s="145">
        <v>4.7</v>
      </c>
    </row>
    <row r="560" spans="1:1" x14ac:dyDescent="0.25">
      <c r="A560" s="145">
        <v>2.8000000000000003</v>
      </c>
    </row>
    <row r="561" spans="1:1" x14ac:dyDescent="0.25">
      <c r="A561" s="145">
        <v>2</v>
      </c>
    </row>
    <row r="562" spans="1:1" x14ac:dyDescent="0.25">
      <c r="A562" s="145">
        <v>2.1</v>
      </c>
    </row>
    <row r="563" spans="1:1" x14ac:dyDescent="0.25">
      <c r="A563" s="145">
        <v>3.8000000000000003</v>
      </c>
    </row>
    <row r="564" spans="1:1" x14ac:dyDescent="0.25">
      <c r="A564" s="145">
        <v>3.3000000000000003</v>
      </c>
    </row>
    <row r="565" spans="1:1" x14ac:dyDescent="0.25">
      <c r="A565" s="145">
        <v>5.3</v>
      </c>
    </row>
    <row r="566" spans="1:1" x14ac:dyDescent="0.25">
      <c r="A566" s="145">
        <v>0.5</v>
      </c>
    </row>
    <row r="567" spans="1:1" x14ac:dyDescent="0.25">
      <c r="A567" s="145">
        <v>4.7</v>
      </c>
    </row>
    <row r="568" spans="1:1" x14ac:dyDescent="0.25">
      <c r="A568" s="145">
        <v>3.4000000000000004</v>
      </c>
    </row>
    <row r="569" spans="1:1" x14ac:dyDescent="0.25">
      <c r="A569" s="145">
        <v>2.5</v>
      </c>
    </row>
    <row r="570" spans="1:1" x14ac:dyDescent="0.25">
      <c r="A570" s="145">
        <v>0.7</v>
      </c>
    </row>
    <row r="571" spans="1:1" x14ac:dyDescent="0.25">
      <c r="A571" s="145">
        <v>4.5</v>
      </c>
    </row>
    <row r="572" spans="1:1" x14ac:dyDescent="0.25">
      <c r="A572" s="145">
        <v>1.4</v>
      </c>
    </row>
    <row r="573" spans="1:1" x14ac:dyDescent="0.25">
      <c r="A573" s="145">
        <v>2.4000000000000004</v>
      </c>
    </row>
    <row r="574" spans="1:1" x14ac:dyDescent="0.25">
      <c r="A574" s="145">
        <v>0.89999999999999991</v>
      </c>
    </row>
    <row r="575" spans="1:1" x14ac:dyDescent="0.25">
      <c r="A575" s="145">
        <v>1.4</v>
      </c>
    </row>
    <row r="576" spans="1:1" x14ac:dyDescent="0.25">
      <c r="A576" s="145">
        <v>2.4000000000000004</v>
      </c>
    </row>
    <row r="577" spans="1:1" x14ac:dyDescent="0.25">
      <c r="A577" s="145">
        <v>2.8000000000000003</v>
      </c>
    </row>
    <row r="578" spans="1:1" x14ac:dyDescent="0.25">
      <c r="A578" s="145">
        <v>3.8000000000000003</v>
      </c>
    </row>
    <row r="579" spans="1:1" x14ac:dyDescent="0.25">
      <c r="A579" s="145">
        <v>3.4000000000000004</v>
      </c>
    </row>
    <row r="580" spans="1:1" x14ac:dyDescent="0.25">
      <c r="A580" s="145">
        <v>4.7</v>
      </c>
    </row>
    <row r="581" spans="1:1" x14ac:dyDescent="0.25">
      <c r="A581" s="145">
        <v>2.5</v>
      </c>
    </row>
    <row r="582" spans="1:1" x14ac:dyDescent="0.25">
      <c r="A582" s="145">
        <v>4.7</v>
      </c>
    </row>
    <row r="583" spans="1:1" x14ac:dyDescent="0.25">
      <c r="A583" s="145">
        <v>4</v>
      </c>
    </row>
    <row r="584" spans="1:1" x14ac:dyDescent="0.25">
      <c r="A584" s="145">
        <v>3.8000000000000003</v>
      </c>
    </row>
    <row r="585" spans="1:1" x14ac:dyDescent="0.25">
      <c r="A585" s="145">
        <v>0.89999999999999991</v>
      </c>
    </row>
    <row r="586" spans="1:1" x14ac:dyDescent="0.25">
      <c r="A586" s="145">
        <v>2.9000000000000004</v>
      </c>
    </row>
    <row r="587" spans="1:1" x14ac:dyDescent="0.25">
      <c r="A587" s="145">
        <v>3.2</v>
      </c>
    </row>
    <row r="588" spans="1:1" x14ac:dyDescent="0.25">
      <c r="A588" s="145">
        <v>2</v>
      </c>
    </row>
    <row r="589" spans="1:1" x14ac:dyDescent="0.25">
      <c r="A589" s="145">
        <v>3.1</v>
      </c>
    </row>
    <row r="590" spans="1:1" x14ac:dyDescent="0.25">
      <c r="A590" s="145">
        <v>2.3000000000000003</v>
      </c>
    </row>
    <row r="591" spans="1:1" x14ac:dyDescent="0.25">
      <c r="A591" s="145">
        <v>1.1000000000000001</v>
      </c>
    </row>
    <row r="592" spans="1:1" x14ac:dyDescent="0.25">
      <c r="A592" s="145">
        <v>2.1</v>
      </c>
    </row>
    <row r="593" spans="1:1" x14ac:dyDescent="0.25">
      <c r="A593" s="145">
        <v>4</v>
      </c>
    </row>
    <row r="594" spans="1:1" x14ac:dyDescent="0.25">
      <c r="A594" s="145">
        <v>4.4000000000000004</v>
      </c>
    </row>
    <row r="595" spans="1:1" x14ac:dyDescent="0.25">
      <c r="A595" s="145">
        <v>1.4</v>
      </c>
    </row>
    <row r="596" spans="1:1" x14ac:dyDescent="0.25">
      <c r="A596" s="145">
        <v>3.2</v>
      </c>
    </row>
    <row r="597" spans="1:1" x14ac:dyDescent="0.25">
      <c r="A597" s="145">
        <v>2.2000000000000002</v>
      </c>
    </row>
    <row r="598" spans="1:1" x14ac:dyDescent="0.25">
      <c r="A598" s="145">
        <v>1.8</v>
      </c>
    </row>
    <row r="599" spans="1:1" x14ac:dyDescent="0.25">
      <c r="A599" s="145">
        <v>0.5</v>
      </c>
    </row>
    <row r="600" spans="1:1" x14ac:dyDescent="0.25">
      <c r="A600" s="145">
        <v>3</v>
      </c>
    </row>
    <row r="601" spans="1:1" x14ac:dyDescent="0.25">
      <c r="A601" s="145">
        <v>1.7</v>
      </c>
    </row>
    <row r="602" spans="1:1" x14ac:dyDescent="0.25">
      <c r="A602" s="145">
        <v>1</v>
      </c>
    </row>
    <row r="603" spans="1:1" x14ac:dyDescent="0.25">
      <c r="A603" s="145">
        <v>3.3000000000000003</v>
      </c>
    </row>
    <row r="604" spans="1:1" x14ac:dyDescent="0.25">
      <c r="A604" s="145">
        <v>2.3000000000000003</v>
      </c>
    </row>
    <row r="605" spans="1:1" x14ac:dyDescent="0.25">
      <c r="A605" s="145">
        <v>1.5</v>
      </c>
    </row>
    <row r="606" spans="1:1" x14ac:dyDescent="0.25">
      <c r="A606" s="145">
        <v>5.9</v>
      </c>
    </row>
    <row r="607" spans="1:1" x14ac:dyDescent="0.25">
      <c r="A607" s="145">
        <v>2.5</v>
      </c>
    </row>
    <row r="608" spans="1:1" x14ac:dyDescent="0.25">
      <c r="A608" s="145">
        <v>1.3</v>
      </c>
    </row>
    <row r="609" spans="1:1" x14ac:dyDescent="0.25">
      <c r="A609" s="145">
        <v>4.0999999999999996</v>
      </c>
    </row>
    <row r="610" spans="1:1" x14ac:dyDescent="0.25">
      <c r="A610" s="145">
        <v>3.5</v>
      </c>
    </row>
    <row r="611" spans="1:1" x14ac:dyDescent="0.25">
      <c r="A611" s="145">
        <v>2.2000000000000002</v>
      </c>
    </row>
    <row r="612" spans="1:1" x14ac:dyDescent="0.25">
      <c r="A612" s="145">
        <v>1.4</v>
      </c>
    </row>
    <row r="613" spans="1:1" x14ac:dyDescent="0.25">
      <c r="A613" s="145">
        <v>2</v>
      </c>
    </row>
    <row r="614" spans="1:1" x14ac:dyDescent="0.25">
      <c r="A614" s="145">
        <v>4.5</v>
      </c>
    </row>
    <row r="615" spans="1:1" x14ac:dyDescent="0.25">
      <c r="A615" s="145">
        <v>0.60000000000000009</v>
      </c>
    </row>
    <row r="616" spans="1:1" x14ac:dyDescent="0.25">
      <c r="A616" s="145">
        <v>4.5</v>
      </c>
    </row>
    <row r="617" spans="1:1" x14ac:dyDescent="0.25">
      <c r="A617" s="145">
        <v>4.8</v>
      </c>
    </row>
    <row r="618" spans="1:1" x14ac:dyDescent="0.25">
      <c r="A618" s="145">
        <v>0.89999999999999991</v>
      </c>
    </row>
    <row r="619" spans="1:1" x14ac:dyDescent="0.25">
      <c r="A619" s="145">
        <v>0.7</v>
      </c>
    </row>
    <row r="620" spans="1:1" x14ac:dyDescent="0.25">
      <c r="A620" s="145">
        <v>1.1000000000000001</v>
      </c>
    </row>
    <row r="621" spans="1:1" x14ac:dyDescent="0.25">
      <c r="A621" s="145">
        <v>2.3000000000000003</v>
      </c>
    </row>
    <row r="622" spans="1:1" x14ac:dyDescent="0.25">
      <c r="A622" s="145">
        <v>4.7</v>
      </c>
    </row>
    <row r="623" spans="1:1" x14ac:dyDescent="0.25">
      <c r="A623" s="145">
        <v>4.9000000000000004</v>
      </c>
    </row>
    <row r="624" spans="1:1" x14ac:dyDescent="0.25">
      <c r="A624" s="145">
        <v>1.7</v>
      </c>
    </row>
    <row r="625" spans="1:1" x14ac:dyDescent="0.25">
      <c r="A625" s="145">
        <v>3.1</v>
      </c>
    </row>
    <row r="626" spans="1:1" x14ac:dyDescent="0.25">
      <c r="A626" s="145">
        <v>3.3000000000000003</v>
      </c>
    </row>
    <row r="627" spans="1:1" x14ac:dyDescent="0.25">
      <c r="A627" s="145">
        <v>3.7</v>
      </c>
    </row>
    <row r="628" spans="1:1" x14ac:dyDescent="0.25">
      <c r="A628" s="145">
        <v>2.4000000000000004</v>
      </c>
    </row>
    <row r="629" spans="1:1" x14ac:dyDescent="0.25">
      <c r="A629" s="145">
        <v>1.5</v>
      </c>
    </row>
    <row r="630" spans="1:1" x14ac:dyDescent="0.25">
      <c r="A630" s="145">
        <v>1.3</v>
      </c>
    </row>
    <row r="631" spans="1:1" x14ac:dyDescent="0.25">
      <c r="A631" s="145">
        <v>3.8000000000000003</v>
      </c>
    </row>
    <row r="632" spans="1:1" x14ac:dyDescent="0.25">
      <c r="A632" s="145">
        <v>3.2</v>
      </c>
    </row>
    <row r="633" spans="1:1" x14ac:dyDescent="0.25">
      <c r="A633" s="145">
        <v>2.5</v>
      </c>
    </row>
    <row r="634" spans="1:1" x14ac:dyDescent="0.25">
      <c r="A634" s="145">
        <v>4.7</v>
      </c>
    </row>
    <row r="635" spans="1:1" x14ac:dyDescent="0.25">
      <c r="A635" s="145">
        <v>1.4</v>
      </c>
    </row>
    <row r="636" spans="1:1" x14ac:dyDescent="0.25">
      <c r="A636" s="145">
        <v>1.3</v>
      </c>
    </row>
    <row r="637" spans="1:1" x14ac:dyDescent="0.25">
      <c r="A637" s="145">
        <v>2.8000000000000003</v>
      </c>
    </row>
    <row r="638" spans="1:1" x14ac:dyDescent="0.25">
      <c r="A638" s="145">
        <v>3.9000000000000004</v>
      </c>
    </row>
    <row r="639" spans="1:1" x14ac:dyDescent="0.25">
      <c r="A639" s="145">
        <v>0.60000000000000009</v>
      </c>
    </row>
    <row r="640" spans="1:1" x14ac:dyDescent="0.25">
      <c r="A640" s="145">
        <v>3.3000000000000003</v>
      </c>
    </row>
    <row r="641" spans="1:1" x14ac:dyDescent="0.25">
      <c r="A641" s="145">
        <v>1.2</v>
      </c>
    </row>
    <row r="642" spans="1:1" x14ac:dyDescent="0.25">
      <c r="A642" s="145">
        <v>1.4</v>
      </c>
    </row>
    <row r="643" spans="1:1" x14ac:dyDescent="0.25">
      <c r="A643" s="145">
        <v>1.8</v>
      </c>
    </row>
    <row r="644" spans="1:1" x14ac:dyDescent="0.25">
      <c r="A644" s="145">
        <v>4.8</v>
      </c>
    </row>
    <row r="645" spans="1:1" x14ac:dyDescent="0.25">
      <c r="A645" s="145">
        <v>0.60000000000000009</v>
      </c>
    </row>
    <row r="646" spans="1:1" x14ac:dyDescent="0.25">
      <c r="A646" s="145">
        <v>1.2</v>
      </c>
    </row>
    <row r="647" spans="1:1" x14ac:dyDescent="0.25">
      <c r="A647" s="145">
        <v>2.2000000000000002</v>
      </c>
    </row>
    <row r="648" spans="1:1" x14ac:dyDescent="0.25">
      <c r="A648" s="145">
        <v>2.3000000000000003</v>
      </c>
    </row>
    <row r="649" spans="1:1" x14ac:dyDescent="0.25">
      <c r="A649" s="145">
        <v>2.2000000000000002</v>
      </c>
    </row>
    <row r="650" spans="1:1" x14ac:dyDescent="0.25">
      <c r="A650" s="145">
        <v>3.6</v>
      </c>
    </row>
    <row r="651" spans="1:1" x14ac:dyDescent="0.25">
      <c r="A651" s="145">
        <v>3.6</v>
      </c>
    </row>
    <row r="652" spans="1:1" x14ac:dyDescent="0.25">
      <c r="A652" s="145">
        <v>3.8000000000000003</v>
      </c>
    </row>
    <row r="653" spans="1:1" x14ac:dyDescent="0.25">
      <c r="A653" s="145">
        <v>0.89999999999999991</v>
      </c>
    </row>
    <row r="654" spans="1:1" x14ac:dyDescent="0.25">
      <c r="A654" s="145">
        <v>4.2</v>
      </c>
    </row>
    <row r="655" spans="1:1" x14ac:dyDescent="0.25">
      <c r="A655" s="145">
        <v>1.7</v>
      </c>
    </row>
    <row r="656" spans="1:1" x14ac:dyDescent="0.25">
      <c r="A656" s="145">
        <v>0.30000000000000004</v>
      </c>
    </row>
    <row r="657" spans="1:1" x14ac:dyDescent="0.25">
      <c r="A657" s="145">
        <v>3.1</v>
      </c>
    </row>
    <row r="658" spans="1:1" x14ac:dyDescent="0.25">
      <c r="A658" s="145">
        <v>5.1000000000000005</v>
      </c>
    </row>
    <row r="659" spans="1:1" x14ac:dyDescent="0.25">
      <c r="A659" s="145">
        <v>3.6</v>
      </c>
    </row>
    <row r="660" spans="1:1" x14ac:dyDescent="0.25">
      <c r="A660" s="145">
        <v>5</v>
      </c>
    </row>
    <row r="661" spans="1:1" x14ac:dyDescent="0.25">
      <c r="A661" s="145">
        <v>3.2</v>
      </c>
    </row>
    <row r="662" spans="1:1" x14ac:dyDescent="0.25">
      <c r="A662" s="145">
        <v>4.2</v>
      </c>
    </row>
    <row r="663" spans="1:1" x14ac:dyDescent="0.25">
      <c r="A663" s="145">
        <v>4.8</v>
      </c>
    </row>
    <row r="664" spans="1:1" x14ac:dyDescent="0.25">
      <c r="A664" s="145">
        <v>2.9000000000000004</v>
      </c>
    </row>
    <row r="665" spans="1:1" x14ac:dyDescent="0.25">
      <c r="A665" s="145">
        <v>4.2</v>
      </c>
    </row>
    <row r="666" spans="1:1" x14ac:dyDescent="0.25">
      <c r="A666" s="145">
        <v>0.4</v>
      </c>
    </row>
    <row r="667" spans="1:1" x14ac:dyDescent="0.25">
      <c r="A667" s="145">
        <v>4.8</v>
      </c>
    </row>
    <row r="668" spans="1:1" x14ac:dyDescent="0.25">
      <c r="A668" s="145">
        <v>3.2</v>
      </c>
    </row>
    <row r="669" spans="1:1" x14ac:dyDescent="0.25">
      <c r="A669" s="145">
        <v>3.8000000000000003</v>
      </c>
    </row>
    <row r="670" spans="1:1" x14ac:dyDescent="0.25">
      <c r="A670" s="145">
        <v>5.5</v>
      </c>
    </row>
    <row r="671" spans="1:1" x14ac:dyDescent="0.25">
      <c r="A671" s="145">
        <v>4</v>
      </c>
    </row>
    <row r="672" spans="1:1" x14ac:dyDescent="0.25">
      <c r="A672" s="145">
        <v>4.4000000000000004</v>
      </c>
    </row>
    <row r="673" spans="1:1" x14ac:dyDescent="0.25">
      <c r="A673" s="145">
        <v>2.2000000000000002</v>
      </c>
    </row>
    <row r="674" spans="1:1" x14ac:dyDescent="0.25">
      <c r="A674" s="145">
        <v>1.5999999999999999</v>
      </c>
    </row>
    <row r="675" spans="1:1" x14ac:dyDescent="0.25">
      <c r="A675" s="145">
        <v>1</v>
      </c>
    </row>
    <row r="676" spans="1:1" x14ac:dyDescent="0.25">
      <c r="A676" s="145">
        <v>0.30000000000000004</v>
      </c>
    </row>
    <row r="677" spans="1:1" x14ac:dyDescent="0.25">
      <c r="A677" s="145">
        <v>4</v>
      </c>
    </row>
    <row r="678" spans="1:1" x14ac:dyDescent="0.25">
      <c r="A678" s="145">
        <v>3.3000000000000003</v>
      </c>
    </row>
    <row r="679" spans="1:1" x14ac:dyDescent="0.25">
      <c r="A679" s="145">
        <v>0.89999999999999991</v>
      </c>
    </row>
    <row r="680" spans="1:1" x14ac:dyDescent="0.25">
      <c r="A680" s="145">
        <v>1</v>
      </c>
    </row>
    <row r="681" spans="1:1" x14ac:dyDescent="0.25">
      <c r="A681" s="145">
        <v>0.8</v>
      </c>
    </row>
    <row r="682" spans="1:1" x14ac:dyDescent="0.25">
      <c r="A682" s="145">
        <v>2.7</v>
      </c>
    </row>
    <row r="683" spans="1:1" x14ac:dyDescent="0.25">
      <c r="A683" s="145">
        <v>3.8000000000000003</v>
      </c>
    </row>
    <row r="684" spans="1:1" x14ac:dyDescent="0.25">
      <c r="A684" s="145">
        <v>4.0999999999999996</v>
      </c>
    </row>
    <row r="685" spans="1:1" x14ac:dyDescent="0.25">
      <c r="A685" s="145">
        <v>3.7</v>
      </c>
    </row>
    <row r="686" spans="1:1" x14ac:dyDescent="0.25">
      <c r="A686" s="145">
        <v>4.7</v>
      </c>
    </row>
    <row r="687" spans="1:1" x14ac:dyDescent="0.25">
      <c r="A687" s="145">
        <v>2.2000000000000002</v>
      </c>
    </row>
    <row r="688" spans="1:1" x14ac:dyDescent="0.25">
      <c r="A688" s="145">
        <v>1.7</v>
      </c>
    </row>
    <row r="689" spans="1:1" x14ac:dyDescent="0.25">
      <c r="A689" s="145">
        <v>1.5</v>
      </c>
    </row>
    <row r="690" spans="1:1" x14ac:dyDescent="0.25">
      <c r="A690" s="145">
        <v>3.7</v>
      </c>
    </row>
    <row r="691" spans="1:1" x14ac:dyDescent="0.25">
      <c r="A691" s="145">
        <v>3.9000000000000004</v>
      </c>
    </row>
    <row r="692" spans="1:1" x14ac:dyDescent="0.25">
      <c r="A692" s="145">
        <v>3.2</v>
      </c>
    </row>
    <row r="693" spans="1:1" x14ac:dyDescent="0.25">
      <c r="A693" s="145">
        <v>2.9000000000000004</v>
      </c>
    </row>
    <row r="694" spans="1:1" x14ac:dyDescent="0.25">
      <c r="A694" s="145">
        <v>6.2</v>
      </c>
    </row>
    <row r="695" spans="1:1" x14ac:dyDescent="0.25">
      <c r="A695" s="145">
        <v>3.7</v>
      </c>
    </row>
    <row r="696" spans="1:1" x14ac:dyDescent="0.25">
      <c r="A696" s="145">
        <v>0.4</v>
      </c>
    </row>
    <row r="697" spans="1:1" x14ac:dyDescent="0.25">
      <c r="A697" s="145">
        <v>3.4000000000000004</v>
      </c>
    </row>
    <row r="698" spans="1:1" x14ac:dyDescent="0.25">
      <c r="A698" s="145">
        <v>6.2</v>
      </c>
    </row>
    <row r="699" spans="1:1" x14ac:dyDescent="0.25">
      <c r="A699" s="145">
        <v>2</v>
      </c>
    </row>
    <row r="700" spans="1:1" x14ac:dyDescent="0.25">
      <c r="A700" s="145">
        <v>4.5</v>
      </c>
    </row>
    <row r="701" spans="1:1" x14ac:dyDescent="0.25">
      <c r="A701" s="145">
        <v>3.8000000000000003</v>
      </c>
    </row>
    <row r="702" spans="1:1" x14ac:dyDescent="0.25">
      <c r="A702" s="145">
        <v>5.6000000000000005</v>
      </c>
    </row>
    <row r="703" spans="1:1" x14ac:dyDescent="0.25">
      <c r="A703" s="145">
        <v>4.0999999999999996</v>
      </c>
    </row>
    <row r="704" spans="1:1" x14ac:dyDescent="0.25">
      <c r="A704" s="145">
        <v>0.4</v>
      </c>
    </row>
    <row r="705" spans="1:1" x14ac:dyDescent="0.25">
      <c r="A705" s="145">
        <v>3.2</v>
      </c>
    </row>
    <row r="706" spans="1:1" x14ac:dyDescent="0.25">
      <c r="A706" s="145">
        <v>2</v>
      </c>
    </row>
    <row r="707" spans="1:1" x14ac:dyDescent="0.25">
      <c r="A707" s="145">
        <v>6.7</v>
      </c>
    </row>
    <row r="708" spans="1:1" x14ac:dyDescent="0.25">
      <c r="A708" s="145">
        <v>3</v>
      </c>
    </row>
    <row r="709" spans="1:1" x14ac:dyDescent="0.25">
      <c r="A709" s="145">
        <v>2.4000000000000004</v>
      </c>
    </row>
    <row r="710" spans="1:1" x14ac:dyDescent="0.25">
      <c r="A710" s="145">
        <v>2.5</v>
      </c>
    </row>
    <row r="711" spans="1:1" x14ac:dyDescent="0.25">
      <c r="A711" s="145">
        <v>4.4000000000000004</v>
      </c>
    </row>
    <row r="712" spans="1:1" x14ac:dyDescent="0.25">
      <c r="A712" s="145">
        <v>3.1</v>
      </c>
    </row>
    <row r="713" spans="1:1" x14ac:dyDescent="0.25">
      <c r="A713" s="145">
        <v>1</v>
      </c>
    </row>
    <row r="714" spans="1:1" x14ac:dyDescent="0.25">
      <c r="A714" s="145">
        <v>2.3000000000000003</v>
      </c>
    </row>
    <row r="715" spans="1:1" x14ac:dyDescent="0.25">
      <c r="A715" s="145">
        <v>5.6000000000000005</v>
      </c>
    </row>
    <row r="716" spans="1:1" x14ac:dyDescent="0.25">
      <c r="A716" s="145">
        <v>3.3000000000000003</v>
      </c>
    </row>
    <row r="717" spans="1:1" x14ac:dyDescent="0.25">
      <c r="A717" s="145">
        <v>5.8</v>
      </c>
    </row>
    <row r="718" spans="1:1" x14ac:dyDescent="0.25">
      <c r="A718" s="145">
        <v>2.7</v>
      </c>
    </row>
    <row r="719" spans="1:1" x14ac:dyDescent="0.25">
      <c r="A719" s="145">
        <v>4.4000000000000004</v>
      </c>
    </row>
    <row r="720" spans="1:1" x14ac:dyDescent="0.25">
      <c r="A720" s="145">
        <v>2.7</v>
      </c>
    </row>
    <row r="721" spans="1:1" x14ac:dyDescent="0.25">
      <c r="A721" s="145">
        <v>3.7</v>
      </c>
    </row>
    <row r="722" spans="1:1" x14ac:dyDescent="0.25">
      <c r="A722" s="145">
        <v>1.8</v>
      </c>
    </row>
    <row r="723" spans="1:1" x14ac:dyDescent="0.25">
      <c r="A723" s="145">
        <v>2.7</v>
      </c>
    </row>
    <row r="724" spans="1:1" x14ac:dyDescent="0.25">
      <c r="A724" s="145">
        <v>4.6000000000000005</v>
      </c>
    </row>
    <row r="725" spans="1:1" x14ac:dyDescent="0.25">
      <c r="A725" s="145">
        <v>1</v>
      </c>
    </row>
    <row r="726" spans="1:1" x14ac:dyDescent="0.25">
      <c r="A726" s="145">
        <v>1.1000000000000001</v>
      </c>
    </row>
    <row r="727" spans="1:1" x14ac:dyDescent="0.25">
      <c r="A727" s="145">
        <v>2.6</v>
      </c>
    </row>
    <row r="728" spans="1:1" x14ac:dyDescent="0.25">
      <c r="A728" s="145">
        <v>1.4</v>
      </c>
    </row>
    <row r="729" spans="1:1" x14ac:dyDescent="0.25">
      <c r="A729" s="145">
        <v>1</v>
      </c>
    </row>
    <row r="730" spans="1:1" x14ac:dyDescent="0.25">
      <c r="A730" s="145">
        <v>0.89999999999999991</v>
      </c>
    </row>
    <row r="731" spans="1:1" x14ac:dyDescent="0.25">
      <c r="A731" s="145">
        <v>3.3000000000000003</v>
      </c>
    </row>
    <row r="732" spans="1:1" x14ac:dyDescent="0.25">
      <c r="A732" s="145">
        <v>0.8</v>
      </c>
    </row>
    <row r="733" spans="1:1" x14ac:dyDescent="0.25">
      <c r="A733" s="145">
        <v>1</v>
      </c>
    </row>
    <row r="734" spans="1:1" x14ac:dyDescent="0.25">
      <c r="A734" s="145">
        <v>2.5</v>
      </c>
    </row>
    <row r="735" spans="1:1" x14ac:dyDescent="0.25">
      <c r="A735" s="145">
        <v>5.6000000000000005</v>
      </c>
    </row>
    <row r="736" spans="1:1" x14ac:dyDescent="0.25">
      <c r="A736" s="145">
        <v>5.4</v>
      </c>
    </row>
    <row r="737" spans="1:1" x14ac:dyDescent="0.25">
      <c r="A737" s="145">
        <v>5.2</v>
      </c>
    </row>
    <row r="738" spans="1:1" x14ac:dyDescent="0.25">
      <c r="A738" s="145">
        <v>5.5</v>
      </c>
    </row>
    <row r="739" spans="1:1" x14ac:dyDescent="0.25">
      <c r="A739" s="145">
        <v>4</v>
      </c>
    </row>
    <row r="740" spans="1:1" x14ac:dyDescent="0.25">
      <c r="A740" s="145">
        <v>4.3</v>
      </c>
    </row>
    <row r="741" spans="1:1" x14ac:dyDescent="0.25">
      <c r="A741" s="145">
        <v>2</v>
      </c>
    </row>
    <row r="742" spans="1:1" x14ac:dyDescent="0.25">
      <c r="A742" s="145">
        <v>3</v>
      </c>
    </row>
    <row r="743" spans="1:1" x14ac:dyDescent="0.25">
      <c r="A743" s="145">
        <v>2.1</v>
      </c>
    </row>
    <row r="744" spans="1:1" x14ac:dyDescent="0.25">
      <c r="A744" s="145">
        <v>1.9</v>
      </c>
    </row>
    <row r="745" spans="1:1" x14ac:dyDescent="0.25">
      <c r="A745" s="145">
        <v>3.8000000000000003</v>
      </c>
    </row>
    <row r="746" spans="1:1" x14ac:dyDescent="0.25">
      <c r="A746" s="145">
        <v>3.5</v>
      </c>
    </row>
    <row r="747" spans="1:1" x14ac:dyDescent="0.25">
      <c r="A747" s="145">
        <v>0.8</v>
      </c>
    </row>
    <row r="748" spans="1:1" x14ac:dyDescent="0.25">
      <c r="A748" s="145">
        <v>2.3000000000000003</v>
      </c>
    </row>
    <row r="749" spans="1:1" x14ac:dyDescent="0.25">
      <c r="A749" s="145">
        <v>2.9000000000000004</v>
      </c>
    </row>
    <row r="750" spans="1:1" x14ac:dyDescent="0.25">
      <c r="A750" s="145">
        <v>2.5</v>
      </c>
    </row>
    <row r="751" spans="1:1" x14ac:dyDescent="0.25">
      <c r="A751" s="145">
        <v>0.5</v>
      </c>
    </row>
    <row r="752" spans="1:1" x14ac:dyDescent="0.25">
      <c r="A752" s="145">
        <v>0.30000000000000004</v>
      </c>
    </row>
    <row r="753" spans="1:1" x14ac:dyDescent="0.25">
      <c r="A753" s="145">
        <v>5.5</v>
      </c>
    </row>
    <row r="754" spans="1:1" x14ac:dyDescent="0.25">
      <c r="A754" s="145">
        <v>4.2</v>
      </c>
    </row>
    <row r="755" spans="1:1" x14ac:dyDescent="0.25">
      <c r="A755" s="145">
        <v>0.7</v>
      </c>
    </row>
    <row r="756" spans="1:1" x14ac:dyDescent="0.25">
      <c r="A756" s="145">
        <v>1.2</v>
      </c>
    </row>
    <row r="757" spans="1:1" x14ac:dyDescent="0.25">
      <c r="A757" s="145">
        <v>1.3</v>
      </c>
    </row>
    <row r="758" spans="1:1" x14ac:dyDescent="0.25">
      <c r="A758" s="145">
        <v>2.6</v>
      </c>
    </row>
    <row r="759" spans="1:1" x14ac:dyDescent="0.25">
      <c r="A759" s="145">
        <v>1.8</v>
      </c>
    </row>
    <row r="760" spans="1:1" x14ac:dyDescent="0.25">
      <c r="A760" s="145">
        <v>2</v>
      </c>
    </row>
    <row r="761" spans="1:1" x14ac:dyDescent="0.25">
      <c r="A761" s="145">
        <v>0.5</v>
      </c>
    </row>
    <row r="762" spans="1:1" x14ac:dyDescent="0.25">
      <c r="A762" s="145">
        <v>2.2000000000000002</v>
      </c>
    </row>
    <row r="763" spans="1:1" x14ac:dyDescent="0.25">
      <c r="A763" s="145">
        <v>2.9000000000000004</v>
      </c>
    </row>
    <row r="764" spans="1:1" x14ac:dyDescent="0.25">
      <c r="A764" s="145">
        <v>2.3000000000000003</v>
      </c>
    </row>
    <row r="765" spans="1:1" x14ac:dyDescent="0.25">
      <c r="A765" s="145">
        <v>2.8000000000000003</v>
      </c>
    </row>
    <row r="766" spans="1:1" x14ac:dyDescent="0.25">
      <c r="A766" s="145">
        <v>3.2</v>
      </c>
    </row>
    <row r="767" spans="1:1" x14ac:dyDescent="0.25">
      <c r="A767" s="145">
        <v>1</v>
      </c>
    </row>
    <row r="768" spans="1:1" x14ac:dyDescent="0.25">
      <c r="A768" s="145">
        <v>2.8000000000000003</v>
      </c>
    </row>
    <row r="769" spans="1:1" x14ac:dyDescent="0.25">
      <c r="A769" s="145">
        <v>1.4</v>
      </c>
    </row>
    <row r="770" spans="1:1" x14ac:dyDescent="0.25">
      <c r="A770" s="145">
        <v>1.7</v>
      </c>
    </row>
    <row r="771" spans="1:1" x14ac:dyDescent="0.25">
      <c r="A771" s="145">
        <v>1.8</v>
      </c>
    </row>
    <row r="772" spans="1:1" x14ac:dyDescent="0.25">
      <c r="A772" s="145">
        <v>6.1000000000000005</v>
      </c>
    </row>
    <row r="773" spans="1:1" x14ac:dyDescent="0.25">
      <c r="A773" s="145">
        <v>2.2000000000000002</v>
      </c>
    </row>
    <row r="774" spans="1:1" x14ac:dyDescent="0.25">
      <c r="A774" s="145">
        <v>3.2</v>
      </c>
    </row>
    <row r="775" spans="1:1" x14ac:dyDescent="0.25">
      <c r="A775" s="145">
        <v>3.7</v>
      </c>
    </row>
    <row r="776" spans="1:1" x14ac:dyDescent="0.25">
      <c r="A776" s="145">
        <v>4.6000000000000005</v>
      </c>
    </row>
    <row r="777" spans="1:1" x14ac:dyDescent="0.25">
      <c r="A777" s="145">
        <v>3.5</v>
      </c>
    </row>
    <row r="778" spans="1:1" x14ac:dyDescent="0.25">
      <c r="A778" s="145">
        <v>2.6</v>
      </c>
    </row>
    <row r="779" spans="1:1" x14ac:dyDescent="0.25">
      <c r="A779" s="145">
        <v>1.5</v>
      </c>
    </row>
    <row r="780" spans="1:1" x14ac:dyDescent="0.25">
      <c r="A780" s="145">
        <v>4.0999999999999996</v>
      </c>
    </row>
    <row r="781" spans="1:1" x14ac:dyDescent="0.25">
      <c r="A781" s="145">
        <v>3.7</v>
      </c>
    </row>
    <row r="782" spans="1:1" x14ac:dyDescent="0.25">
      <c r="A782" s="145">
        <v>0.4</v>
      </c>
    </row>
    <row r="783" spans="1:1" x14ac:dyDescent="0.25">
      <c r="A783" s="145">
        <v>3.7</v>
      </c>
    </row>
    <row r="784" spans="1:1" x14ac:dyDescent="0.25">
      <c r="A784" s="145">
        <v>4.8</v>
      </c>
    </row>
    <row r="785" spans="1:1" x14ac:dyDescent="0.25">
      <c r="A785" s="145">
        <v>0.5</v>
      </c>
    </row>
    <row r="786" spans="1:1" x14ac:dyDescent="0.25">
      <c r="A786" s="145">
        <v>0.4</v>
      </c>
    </row>
    <row r="787" spans="1:1" x14ac:dyDescent="0.25">
      <c r="A787" s="145">
        <v>4.5</v>
      </c>
    </row>
    <row r="788" spans="1:1" x14ac:dyDescent="0.25">
      <c r="A788" s="145">
        <v>2.8000000000000003</v>
      </c>
    </row>
    <row r="789" spans="1:1" x14ac:dyDescent="0.25">
      <c r="A789" s="145">
        <v>2.8000000000000003</v>
      </c>
    </row>
    <row r="790" spans="1:1" x14ac:dyDescent="0.25">
      <c r="A790" s="145">
        <v>2.6</v>
      </c>
    </row>
    <row r="791" spans="1:1" x14ac:dyDescent="0.25">
      <c r="A791" s="145">
        <v>3.2</v>
      </c>
    </row>
    <row r="792" spans="1:1" x14ac:dyDescent="0.25">
      <c r="A792" s="145">
        <v>2.7</v>
      </c>
    </row>
    <row r="793" spans="1:1" x14ac:dyDescent="0.25">
      <c r="A793" s="145">
        <v>3.9000000000000004</v>
      </c>
    </row>
    <row r="794" spans="1:1" x14ac:dyDescent="0.25">
      <c r="A794" s="145">
        <v>1.8</v>
      </c>
    </row>
    <row r="795" spans="1:1" x14ac:dyDescent="0.25">
      <c r="A795" s="145">
        <v>1.7</v>
      </c>
    </row>
    <row r="796" spans="1:1" x14ac:dyDescent="0.25">
      <c r="A796" s="145">
        <v>2</v>
      </c>
    </row>
    <row r="797" spans="1:1" x14ac:dyDescent="0.25">
      <c r="A797" s="145">
        <v>2</v>
      </c>
    </row>
    <row r="798" spans="1:1" x14ac:dyDescent="0.25">
      <c r="A798" s="145">
        <v>3</v>
      </c>
    </row>
    <row r="799" spans="1:1" x14ac:dyDescent="0.25">
      <c r="A799" s="145">
        <v>0.4</v>
      </c>
    </row>
    <row r="800" spans="1:1" x14ac:dyDescent="0.25">
      <c r="A800" s="145">
        <v>1.7</v>
      </c>
    </row>
    <row r="801" spans="1:1" x14ac:dyDescent="0.25">
      <c r="A801" s="145">
        <v>3.5</v>
      </c>
    </row>
    <row r="802" spans="1:1" x14ac:dyDescent="0.25">
      <c r="A802" s="145">
        <v>1.8</v>
      </c>
    </row>
    <row r="803" spans="1:1" x14ac:dyDescent="0.25">
      <c r="A803" s="145">
        <v>4.0999999999999996</v>
      </c>
    </row>
    <row r="804" spans="1:1" x14ac:dyDescent="0.25">
      <c r="A804" s="145">
        <v>4</v>
      </c>
    </row>
    <row r="805" spans="1:1" x14ac:dyDescent="0.25">
      <c r="A805" s="145">
        <v>4.0999999999999996</v>
      </c>
    </row>
    <row r="806" spans="1:1" x14ac:dyDescent="0.25">
      <c r="A806" s="145">
        <v>5.9</v>
      </c>
    </row>
    <row r="807" spans="1:1" x14ac:dyDescent="0.25">
      <c r="A807" s="145">
        <v>2.1</v>
      </c>
    </row>
    <row r="808" spans="1:1" x14ac:dyDescent="0.25">
      <c r="A808" s="145">
        <v>2.1</v>
      </c>
    </row>
    <row r="809" spans="1:1" x14ac:dyDescent="0.25">
      <c r="A809" s="145">
        <v>4.2</v>
      </c>
    </row>
    <row r="810" spans="1:1" x14ac:dyDescent="0.25">
      <c r="A810" s="145">
        <v>5.4</v>
      </c>
    </row>
    <row r="811" spans="1:1" x14ac:dyDescent="0.25">
      <c r="A811" s="145">
        <v>6.4</v>
      </c>
    </row>
    <row r="812" spans="1:1" x14ac:dyDescent="0.25">
      <c r="A812" s="145">
        <v>1.4</v>
      </c>
    </row>
    <row r="813" spans="1:1" x14ac:dyDescent="0.25">
      <c r="A813" s="145">
        <v>3.3000000000000003</v>
      </c>
    </row>
    <row r="814" spans="1:1" x14ac:dyDescent="0.25">
      <c r="A814" s="145">
        <v>2</v>
      </c>
    </row>
    <row r="815" spans="1:1" x14ac:dyDescent="0.25">
      <c r="A815" s="145">
        <v>4.6000000000000005</v>
      </c>
    </row>
    <row r="816" spans="1:1" x14ac:dyDescent="0.25">
      <c r="A816" s="145">
        <v>5</v>
      </c>
    </row>
    <row r="817" spans="1:1" x14ac:dyDescent="0.25">
      <c r="A817" s="145">
        <v>4.9000000000000004</v>
      </c>
    </row>
    <row r="818" spans="1:1" x14ac:dyDescent="0.25">
      <c r="A818" s="145">
        <v>1.5999999999999999</v>
      </c>
    </row>
    <row r="819" spans="1:1" x14ac:dyDescent="0.25">
      <c r="A819" s="145">
        <v>4.8</v>
      </c>
    </row>
    <row r="820" spans="1:1" x14ac:dyDescent="0.25">
      <c r="A820" s="145">
        <v>3</v>
      </c>
    </row>
    <row r="821" spans="1:1" x14ac:dyDescent="0.25">
      <c r="A821" s="145">
        <v>1.1000000000000001</v>
      </c>
    </row>
    <row r="822" spans="1:1" x14ac:dyDescent="0.25">
      <c r="A822" s="145">
        <v>2.4000000000000004</v>
      </c>
    </row>
    <row r="823" spans="1:1" x14ac:dyDescent="0.25">
      <c r="A823" s="145">
        <v>5.6000000000000005</v>
      </c>
    </row>
    <row r="824" spans="1:1" x14ac:dyDescent="0.25">
      <c r="A824" s="145">
        <v>4.9000000000000004</v>
      </c>
    </row>
    <row r="825" spans="1:1" x14ac:dyDescent="0.25">
      <c r="A825" s="145">
        <v>3.8000000000000003</v>
      </c>
    </row>
    <row r="826" spans="1:1" x14ac:dyDescent="0.25">
      <c r="A826" s="145">
        <v>2.7</v>
      </c>
    </row>
    <row r="827" spans="1:1" x14ac:dyDescent="0.25">
      <c r="A827" s="145">
        <v>4.2</v>
      </c>
    </row>
    <row r="828" spans="1:1" x14ac:dyDescent="0.25">
      <c r="A828" s="145">
        <v>3.4000000000000004</v>
      </c>
    </row>
    <row r="829" spans="1:1" x14ac:dyDescent="0.25">
      <c r="A829" s="145">
        <v>0.30000000000000004</v>
      </c>
    </row>
    <row r="830" spans="1:1" x14ac:dyDescent="0.25">
      <c r="A830" s="145">
        <v>0.30000000000000004</v>
      </c>
    </row>
    <row r="831" spans="1:1" x14ac:dyDescent="0.25">
      <c r="A831" s="145">
        <v>6.3</v>
      </c>
    </row>
    <row r="832" spans="1:1" x14ac:dyDescent="0.25">
      <c r="A832" s="145">
        <v>4</v>
      </c>
    </row>
    <row r="833" spans="1:1" x14ac:dyDescent="0.25">
      <c r="A833" s="145">
        <v>0.7</v>
      </c>
    </row>
    <row r="834" spans="1:1" x14ac:dyDescent="0.25">
      <c r="A834" s="145">
        <v>2.9000000000000004</v>
      </c>
    </row>
    <row r="835" spans="1:1" x14ac:dyDescent="0.25">
      <c r="A835" s="145">
        <v>4</v>
      </c>
    </row>
    <row r="836" spans="1:1" x14ac:dyDescent="0.25">
      <c r="A836" s="145">
        <v>3.6</v>
      </c>
    </row>
    <row r="837" spans="1:1" x14ac:dyDescent="0.25">
      <c r="A837" s="145">
        <v>4.2</v>
      </c>
    </row>
    <row r="838" spans="1:1" x14ac:dyDescent="0.25">
      <c r="A838" s="145">
        <v>4.9000000000000004</v>
      </c>
    </row>
    <row r="839" spans="1:1" x14ac:dyDescent="0.25">
      <c r="A839" s="145">
        <v>4.7</v>
      </c>
    </row>
    <row r="840" spans="1:1" x14ac:dyDescent="0.25">
      <c r="A840" s="145">
        <v>2.8000000000000003</v>
      </c>
    </row>
    <row r="841" spans="1:1" x14ac:dyDescent="0.25">
      <c r="A841" s="145">
        <v>3.7</v>
      </c>
    </row>
    <row r="842" spans="1:1" x14ac:dyDescent="0.25">
      <c r="A842" s="145">
        <v>3.1</v>
      </c>
    </row>
    <row r="843" spans="1:1" x14ac:dyDescent="0.25">
      <c r="A843" s="145">
        <v>1.7</v>
      </c>
    </row>
    <row r="844" spans="1:1" x14ac:dyDescent="0.25">
      <c r="A844" s="145">
        <v>1.3</v>
      </c>
    </row>
    <row r="845" spans="1:1" x14ac:dyDescent="0.25">
      <c r="A845" s="145">
        <v>2.4000000000000004</v>
      </c>
    </row>
    <row r="846" spans="1:1" x14ac:dyDescent="0.25">
      <c r="A846" s="145">
        <v>1.2</v>
      </c>
    </row>
    <row r="847" spans="1:1" x14ac:dyDescent="0.25">
      <c r="A847" s="145">
        <v>1.5</v>
      </c>
    </row>
    <row r="848" spans="1:1" x14ac:dyDescent="0.25">
      <c r="A848" s="145">
        <v>1.8</v>
      </c>
    </row>
    <row r="849" spans="1:1" x14ac:dyDescent="0.25">
      <c r="A849" s="145">
        <v>1.9</v>
      </c>
    </row>
    <row r="850" spans="1:1" x14ac:dyDescent="0.25">
      <c r="A850" s="145">
        <v>1.5</v>
      </c>
    </row>
    <row r="851" spans="1:1" x14ac:dyDescent="0.25">
      <c r="A851" s="145">
        <v>3.3000000000000003</v>
      </c>
    </row>
    <row r="852" spans="1:1" x14ac:dyDescent="0.25">
      <c r="A852" s="145">
        <v>2.7</v>
      </c>
    </row>
    <row r="853" spans="1:1" x14ac:dyDescent="0.25">
      <c r="A853" s="145">
        <v>4.8</v>
      </c>
    </row>
    <row r="854" spans="1:1" x14ac:dyDescent="0.25">
      <c r="A854" s="145">
        <v>3.9000000000000004</v>
      </c>
    </row>
    <row r="855" spans="1:1" x14ac:dyDescent="0.25">
      <c r="A855" s="145">
        <v>1</v>
      </c>
    </row>
    <row r="856" spans="1:1" x14ac:dyDescent="0.25">
      <c r="A856" s="145">
        <v>3.2</v>
      </c>
    </row>
    <row r="857" spans="1:1" x14ac:dyDescent="0.25">
      <c r="A857" s="145">
        <v>4.2</v>
      </c>
    </row>
    <row r="858" spans="1:1" x14ac:dyDescent="0.25">
      <c r="A858" s="145">
        <v>6.2</v>
      </c>
    </row>
    <row r="859" spans="1:1" x14ac:dyDescent="0.25">
      <c r="A859" s="145">
        <v>6.1000000000000005</v>
      </c>
    </row>
    <row r="860" spans="1:1" x14ac:dyDescent="0.25">
      <c r="A860" s="145">
        <v>2.1</v>
      </c>
    </row>
    <row r="861" spans="1:1" x14ac:dyDescent="0.25">
      <c r="A861" s="145">
        <v>3.6</v>
      </c>
    </row>
    <row r="862" spans="1:1" x14ac:dyDescent="0.25">
      <c r="A862" s="145">
        <v>3</v>
      </c>
    </row>
    <row r="863" spans="1:1" x14ac:dyDescent="0.25">
      <c r="A863" s="145">
        <v>1.5</v>
      </c>
    </row>
    <row r="864" spans="1:1" x14ac:dyDescent="0.25">
      <c r="A864" s="145">
        <v>1.3</v>
      </c>
    </row>
    <row r="865" spans="1:1" x14ac:dyDescent="0.25">
      <c r="A865" s="145">
        <v>1.5999999999999999</v>
      </c>
    </row>
    <row r="866" spans="1:1" x14ac:dyDescent="0.25">
      <c r="A866" s="145">
        <v>1.5999999999999999</v>
      </c>
    </row>
    <row r="867" spans="1:1" x14ac:dyDescent="0.25">
      <c r="A867" s="145">
        <v>1.5999999999999999</v>
      </c>
    </row>
    <row r="868" spans="1:1" x14ac:dyDescent="0.25">
      <c r="A868" s="145">
        <v>0.8</v>
      </c>
    </row>
    <row r="869" spans="1:1" x14ac:dyDescent="0.25">
      <c r="A869" s="145">
        <v>2</v>
      </c>
    </row>
    <row r="870" spans="1:1" x14ac:dyDescent="0.25">
      <c r="A870" s="145">
        <v>2.8000000000000003</v>
      </c>
    </row>
    <row r="871" spans="1:1" x14ac:dyDescent="0.25">
      <c r="A871" s="145">
        <v>4.5</v>
      </c>
    </row>
    <row r="872" spans="1:1" x14ac:dyDescent="0.25">
      <c r="A872" s="145">
        <v>2.2000000000000002</v>
      </c>
    </row>
    <row r="873" spans="1:1" x14ac:dyDescent="0.25">
      <c r="A873" s="145">
        <v>4.8</v>
      </c>
    </row>
    <row r="874" spans="1:1" x14ac:dyDescent="0.25">
      <c r="A874" s="145">
        <v>3.9000000000000004</v>
      </c>
    </row>
    <row r="875" spans="1:1" x14ac:dyDescent="0.25">
      <c r="A875" s="145">
        <v>4.2</v>
      </c>
    </row>
    <row r="876" spans="1:1" x14ac:dyDescent="0.25">
      <c r="A876" s="145">
        <v>3.4000000000000004</v>
      </c>
    </row>
    <row r="877" spans="1:1" x14ac:dyDescent="0.25">
      <c r="A877" s="145">
        <v>3.5</v>
      </c>
    </row>
    <row r="878" spans="1:1" x14ac:dyDescent="0.25">
      <c r="A878" s="145">
        <v>1.9</v>
      </c>
    </row>
    <row r="879" spans="1:1" x14ac:dyDescent="0.25">
      <c r="A879" s="145">
        <v>3</v>
      </c>
    </row>
    <row r="880" spans="1:1" x14ac:dyDescent="0.25">
      <c r="A880" s="145">
        <v>5.1000000000000005</v>
      </c>
    </row>
    <row r="881" spans="1:1" x14ac:dyDescent="0.25">
      <c r="A881" s="145">
        <v>1.5</v>
      </c>
    </row>
    <row r="882" spans="1:1" x14ac:dyDescent="0.25">
      <c r="A882" s="145">
        <v>1.2</v>
      </c>
    </row>
    <row r="883" spans="1:1" x14ac:dyDescent="0.25">
      <c r="A883" s="145">
        <v>0.4</v>
      </c>
    </row>
    <row r="884" spans="1:1" x14ac:dyDescent="0.25">
      <c r="A884" s="145">
        <v>2.9000000000000004</v>
      </c>
    </row>
    <row r="885" spans="1:1" x14ac:dyDescent="0.25">
      <c r="A885" s="145">
        <v>4.2</v>
      </c>
    </row>
    <row r="886" spans="1:1" x14ac:dyDescent="0.25">
      <c r="A886" s="145">
        <v>3.4000000000000004</v>
      </c>
    </row>
    <row r="887" spans="1:1" x14ac:dyDescent="0.25">
      <c r="A887" s="145">
        <v>4</v>
      </c>
    </row>
    <row r="888" spans="1:1" x14ac:dyDescent="0.25">
      <c r="A888" s="145">
        <v>1.4</v>
      </c>
    </row>
    <row r="889" spans="1:1" x14ac:dyDescent="0.25">
      <c r="A889" s="145">
        <v>2.1</v>
      </c>
    </row>
    <row r="890" spans="1:1" x14ac:dyDescent="0.25">
      <c r="A890" s="145">
        <v>1.3</v>
      </c>
    </row>
    <row r="891" spans="1:1" x14ac:dyDescent="0.25">
      <c r="A891" s="145">
        <v>2.5</v>
      </c>
    </row>
    <row r="892" spans="1:1" x14ac:dyDescent="0.25">
      <c r="A892" s="145">
        <v>3.8000000000000003</v>
      </c>
    </row>
    <row r="893" spans="1:1" x14ac:dyDescent="0.25">
      <c r="A893" s="145">
        <v>0.8</v>
      </c>
    </row>
    <row r="894" spans="1:1" x14ac:dyDescent="0.25">
      <c r="A894" s="145">
        <v>1.3</v>
      </c>
    </row>
    <row r="895" spans="1:1" x14ac:dyDescent="0.25">
      <c r="A895" s="145">
        <v>3.9000000000000004</v>
      </c>
    </row>
    <row r="896" spans="1:1" x14ac:dyDescent="0.25">
      <c r="A896" s="145">
        <v>1.5999999999999999</v>
      </c>
    </row>
    <row r="897" spans="1:1" x14ac:dyDescent="0.25">
      <c r="A897" s="145">
        <v>2.8000000000000003</v>
      </c>
    </row>
    <row r="898" spans="1:1" x14ac:dyDescent="0.25">
      <c r="A898" s="145">
        <v>3.8000000000000003</v>
      </c>
    </row>
    <row r="899" spans="1:1" x14ac:dyDescent="0.25">
      <c r="A899" s="145">
        <v>1.5999999999999999</v>
      </c>
    </row>
    <row r="900" spans="1:1" x14ac:dyDescent="0.25">
      <c r="A900" s="145">
        <v>3.9000000000000004</v>
      </c>
    </row>
    <row r="901" spans="1:1" x14ac:dyDescent="0.25">
      <c r="A901" s="145">
        <v>4.6000000000000005</v>
      </c>
    </row>
    <row r="902" spans="1:1" x14ac:dyDescent="0.25">
      <c r="A902" s="145">
        <v>4.3</v>
      </c>
    </row>
    <row r="903" spans="1:1" x14ac:dyDescent="0.25">
      <c r="A903" s="145">
        <v>0.4</v>
      </c>
    </row>
    <row r="904" spans="1:1" x14ac:dyDescent="0.25">
      <c r="A904" s="145">
        <v>0.7</v>
      </c>
    </row>
    <row r="905" spans="1:1" x14ac:dyDescent="0.25">
      <c r="A905" s="145">
        <v>2.2000000000000002</v>
      </c>
    </row>
    <row r="906" spans="1:1" x14ac:dyDescent="0.25">
      <c r="A906" s="145">
        <v>0.2</v>
      </c>
    </row>
    <row r="907" spans="1:1" x14ac:dyDescent="0.25">
      <c r="A907" s="145">
        <v>1.8</v>
      </c>
    </row>
    <row r="908" spans="1:1" x14ac:dyDescent="0.25">
      <c r="A908" s="145">
        <v>3.7</v>
      </c>
    </row>
    <row r="909" spans="1:1" x14ac:dyDescent="0.25">
      <c r="A909" s="145">
        <v>3.5</v>
      </c>
    </row>
    <row r="910" spans="1:1" x14ac:dyDescent="0.25">
      <c r="A910" s="145">
        <v>3</v>
      </c>
    </row>
    <row r="911" spans="1:1" x14ac:dyDescent="0.25">
      <c r="A911" s="145">
        <v>2.8000000000000003</v>
      </c>
    </row>
    <row r="912" spans="1:1" x14ac:dyDescent="0.25">
      <c r="A912" s="145">
        <v>0.4</v>
      </c>
    </row>
    <row r="913" spans="1:1" x14ac:dyDescent="0.25">
      <c r="A913" s="145">
        <v>2.3000000000000003</v>
      </c>
    </row>
    <row r="914" spans="1:1" x14ac:dyDescent="0.25">
      <c r="A914" s="145">
        <v>3.4000000000000004</v>
      </c>
    </row>
    <row r="915" spans="1:1" x14ac:dyDescent="0.25">
      <c r="A915" s="145">
        <v>1.7</v>
      </c>
    </row>
    <row r="916" spans="1:1" x14ac:dyDescent="0.25">
      <c r="A916" s="145">
        <v>2.2000000000000002</v>
      </c>
    </row>
    <row r="917" spans="1:1" x14ac:dyDescent="0.25">
      <c r="A917" s="145">
        <v>1.9</v>
      </c>
    </row>
    <row r="918" spans="1:1" x14ac:dyDescent="0.25">
      <c r="A918" s="145">
        <v>3</v>
      </c>
    </row>
    <row r="919" spans="1:1" x14ac:dyDescent="0.25">
      <c r="A919" s="145">
        <v>5.2</v>
      </c>
    </row>
    <row r="920" spans="1:1" x14ac:dyDescent="0.25">
      <c r="A920" s="145">
        <v>5.4</v>
      </c>
    </row>
    <row r="921" spans="1:1" x14ac:dyDescent="0.25">
      <c r="A921" s="145">
        <v>5.6000000000000005</v>
      </c>
    </row>
    <row r="922" spans="1:1" x14ac:dyDescent="0.25">
      <c r="A922" s="145">
        <v>3.2</v>
      </c>
    </row>
    <row r="923" spans="1:1" x14ac:dyDescent="0.25">
      <c r="A923" s="145">
        <v>4.6000000000000005</v>
      </c>
    </row>
    <row r="924" spans="1:1" x14ac:dyDescent="0.25">
      <c r="A924" s="145">
        <v>4</v>
      </c>
    </row>
    <row r="925" spans="1:1" x14ac:dyDescent="0.25">
      <c r="A925" s="145">
        <v>2</v>
      </c>
    </row>
    <row r="926" spans="1:1" x14ac:dyDescent="0.25">
      <c r="A926" s="145">
        <v>1</v>
      </c>
    </row>
    <row r="927" spans="1:1" x14ac:dyDescent="0.25">
      <c r="A927" s="145">
        <v>2.8000000000000003</v>
      </c>
    </row>
    <row r="928" spans="1:1" x14ac:dyDescent="0.25">
      <c r="A928" s="145">
        <v>0.5</v>
      </c>
    </row>
    <row r="929" spans="1:1" x14ac:dyDescent="0.25">
      <c r="A929" s="145">
        <v>3.3000000000000003</v>
      </c>
    </row>
    <row r="930" spans="1:1" x14ac:dyDescent="0.25">
      <c r="A930" s="145">
        <v>2.7</v>
      </c>
    </row>
    <row r="931" spans="1:1" x14ac:dyDescent="0.25">
      <c r="A931" s="145">
        <v>2.4000000000000004</v>
      </c>
    </row>
    <row r="932" spans="1:1" x14ac:dyDescent="0.25">
      <c r="A932" s="145">
        <v>4</v>
      </c>
    </row>
    <row r="933" spans="1:1" x14ac:dyDescent="0.25">
      <c r="A933" s="145">
        <v>7</v>
      </c>
    </row>
    <row r="934" spans="1:1" x14ac:dyDescent="0.25">
      <c r="A934" s="145">
        <v>2.7</v>
      </c>
    </row>
    <row r="935" spans="1:1" x14ac:dyDescent="0.25">
      <c r="A935" s="145">
        <v>2.1</v>
      </c>
    </row>
    <row r="936" spans="1:1" x14ac:dyDescent="0.25">
      <c r="A936" s="145">
        <v>2.6</v>
      </c>
    </row>
    <row r="937" spans="1:1" x14ac:dyDescent="0.25">
      <c r="A937" s="145">
        <v>3.8000000000000003</v>
      </c>
    </row>
    <row r="938" spans="1:1" x14ac:dyDescent="0.25">
      <c r="A938" s="145">
        <v>5.3</v>
      </c>
    </row>
    <row r="939" spans="1:1" x14ac:dyDescent="0.25">
      <c r="A939" s="145">
        <v>1.5999999999999999</v>
      </c>
    </row>
    <row r="940" spans="1:1" x14ac:dyDescent="0.25">
      <c r="A940" s="145">
        <v>4.3</v>
      </c>
    </row>
    <row r="941" spans="1:1" x14ac:dyDescent="0.25">
      <c r="A941" s="145">
        <v>4.8</v>
      </c>
    </row>
    <row r="942" spans="1:1" x14ac:dyDescent="0.25">
      <c r="A942" s="145">
        <v>2</v>
      </c>
    </row>
    <row r="943" spans="1:1" x14ac:dyDescent="0.25">
      <c r="A943" s="145">
        <v>2</v>
      </c>
    </row>
    <row r="944" spans="1:1" x14ac:dyDescent="0.25">
      <c r="A944" s="145">
        <v>0.4</v>
      </c>
    </row>
    <row r="945" spans="1:1" x14ac:dyDescent="0.25">
      <c r="A945" s="145">
        <v>1.5999999999999999</v>
      </c>
    </row>
    <row r="946" spans="1:1" x14ac:dyDescent="0.25">
      <c r="A946" s="145">
        <v>2.2000000000000002</v>
      </c>
    </row>
    <row r="947" spans="1:1" x14ac:dyDescent="0.25">
      <c r="A947" s="145">
        <v>0.60000000000000009</v>
      </c>
    </row>
    <row r="948" spans="1:1" x14ac:dyDescent="0.25">
      <c r="A948" s="145">
        <v>1.5</v>
      </c>
    </row>
    <row r="949" spans="1:1" x14ac:dyDescent="0.25">
      <c r="A949" s="145">
        <v>2.1</v>
      </c>
    </row>
    <row r="950" spans="1:1" x14ac:dyDescent="0.25">
      <c r="A950" s="145">
        <v>1.4</v>
      </c>
    </row>
    <row r="951" spans="1:1" x14ac:dyDescent="0.25">
      <c r="A951" s="145">
        <v>2.5</v>
      </c>
    </row>
    <row r="952" spans="1:1" x14ac:dyDescent="0.25">
      <c r="A952" s="145">
        <v>3.2</v>
      </c>
    </row>
    <row r="953" spans="1:1" x14ac:dyDescent="0.25">
      <c r="A953" s="145">
        <v>3</v>
      </c>
    </row>
    <row r="954" spans="1:1" x14ac:dyDescent="0.25">
      <c r="A954" s="145">
        <v>3.4000000000000004</v>
      </c>
    </row>
    <row r="955" spans="1:1" x14ac:dyDescent="0.25">
      <c r="A955" s="145">
        <v>4</v>
      </c>
    </row>
    <row r="956" spans="1:1" x14ac:dyDescent="0.25">
      <c r="A956" s="145">
        <v>5.6000000000000005</v>
      </c>
    </row>
    <row r="957" spans="1:1" x14ac:dyDescent="0.25">
      <c r="A957" s="145">
        <v>1.8</v>
      </c>
    </row>
    <row r="958" spans="1:1" x14ac:dyDescent="0.25">
      <c r="A958" s="145">
        <v>1.5999999999999999</v>
      </c>
    </row>
    <row r="959" spans="1:1" x14ac:dyDescent="0.25">
      <c r="A959" s="145">
        <v>3</v>
      </c>
    </row>
    <row r="960" spans="1:1" x14ac:dyDescent="0.25">
      <c r="A960" s="145">
        <v>5.2</v>
      </c>
    </row>
    <row r="961" spans="1:1" x14ac:dyDescent="0.25">
      <c r="A961" s="145">
        <v>2</v>
      </c>
    </row>
    <row r="962" spans="1:1" x14ac:dyDescent="0.25">
      <c r="A962" s="145">
        <v>1</v>
      </c>
    </row>
    <row r="963" spans="1:1" x14ac:dyDescent="0.25">
      <c r="A963" s="145">
        <v>4.7</v>
      </c>
    </row>
    <row r="964" spans="1:1" x14ac:dyDescent="0.25">
      <c r="A964" s="145">
        <v>1.3</v>
      </c>
    </row>
    <row r="965" spans="1:1" x14ac:dyDescent="0.25">
      <c r="A965" s="145">
        <v>5.4</v>
      </c>
    </row>
    <row r="966" spans="1:1" x14ac:dyDescent="0.25">
      <c r="A966" s="145">
        <v>5.4</v>
      </c>
    </row>
    <row r="967" spans="1:1" x14ac:dyDescent="0.25">
      <c r="A967" s="145">
        <v>3.2</v>
      </c>
    </row>
    <row r="968" spans="1:1" x14ac:dyDescent="0.25">
      <c r="A968" s="145">
        <v>3.5</v>
      </c>
    </row>
    <row r="969" spans="1:1" x14ac:dyDescent="0.25">
      <c r="A969" s="145">
        <v>3.7</v>
      </c>
    </row>
    <row r="970" spans="1:1" x14ac:dyDescent="0.25">
      <c r="A970" s="145">
        <v>2.2000000000000002</v>
      </c>
    </row>
    <row r="971" spans="1:1" x14ac:dyDescent="0.25">
      <c r="A971" s="145">
        <v>0.4</v>
      </c>
    </row>
    <row r="972" spans="1:1" x14ac:dyDescent="0.25">
      <c r="A972" s="145">
        <v>1.5999999999999999</v>
      </c>
    </row>
    <row r="973" spans="1:1" x14ac:dyDescent="0.25">
      <c r="A973" s="145">
        <v>2.6</v>
      </c>
    </row>
    <row r="974" spans="1:1" x14ac:dyDescent="0.25">
      <c r="A974" s="145">
        <v>0.89999999999999991</v>
      </c>
    </row>
    <row r="975" spans="1:1" x14ac:dyDescent="0.25">
      <c r="A975" s="145">
        <v>4.8</v>
      </c>
    </row>
    <row r="976" spans="1:1" x14ac:dyDescent="0.25">
      <c r="A976" s="145">
        <v>3</v>
      </c>
    </row>
    <row r="977" spans="1:1" x14ac:dyDescent="0.25">
      <c r="A977" s="145">
        <v>5.5</v>
      </c>
    </row>
    <row r="978" spans="1:1" x14ac:dyDescent="0.25">
      <c r="A978" s="145">
        <v>3.9000000000000004</v>
      </c>
    </row>
    <row r="979" spans="1:1" x14ac:dyDescent="0.25">
      <c r="A979" s="145">
        <v>2.4000000000000004</v>
      </c>
    </row>
    <row r="980" spans="1:1" x14ac:dyDescent="0.25">
      <c r="A980" s="145">
        <v>2.2000000000000002</v>
      </c>
    </row>
    <row r="981" spans="1:1" x14ac:dyDescent="0.25">
      <c r="A981" s="145">
        <v>1.1000000000000001</v>
      </c>
    </row>
    <row r="982" spans="1:1" x14ac:dyDescent="0.25">
      <c r="A982" s="145">
        <v>3.3000000000000003</v>
      </c>
    </row>
    <row r="983" spans="1:1" x14ac:dyDescent="0.25">
      <c r="A983" s="145">
        <v>1.9</v>
      </c>
    </row>
    <row r="984" spans="1:1" x14ac:dyDescent="0.25">
      <c r="A984" s="145">
        <v>0.89999999999999991</v>
      </c>
    </row>
    <row r="985" spans="1:1" x14ac:dyDescent="0.25">
      <c r="A985" s="145">
        <v>3.7</v>
      </c>
    </row>
    <row r="986" spans="1:1" x14ac:dyDescent="0.25">
      <c r="A986" s="145">
        <v>4.2</v>
      </c>
    </row>
    <row r="987" spans="1:1" x14ac:dyDescent="0.25">
      <c r="A987" s="145">
        <v>3.2</v>
      </c>
    </row>
    <row r="988" spans="1:1" x14ac:dyDescent="0.25">
      <c r="A988" s="145">
        <v>4.5</v>
      </c>
    </row>
    <row r="989" spans="1:1" x14ac:dyDescent="0.25">
      <c r="A989" s="145">
        <v>4.4000000000000004</v>
      </c>
    </row>
    <row r="990" spans="1:1" x14ac:dyDescent="0.25">
      <c r="A990" s="145">
        <v>0.89999999999999991</v>
      </c>
    </row>
    <row r="991" spans="1:1" x14ac:dyDescent="0.25">
      <c r="A991" s="145">
        <v>3</v>
      </c>
    </row>
    <row r="992" spans="1:1" x14ac:dyDescent="0.25">
      <c r="A992" s="145">
        <v>2.8000000000000003</v>
      </c>
    </row>
    <row r="993" spans="1:1" x14ac:dyDescent="0.25">
      <c r="A993" s="145">
        <v>3.4000000000000004</v>
      </c>
    </row>
    <row r="994" spans="1:1" x14ac:dyDescent="0.25">
      <c r="A994" s="145">
        <v>3.5</v>
      </c>
    </row>
    <row r="995" spans="1:1" x14ac:dyDescent="0.25">
      <c r="A995" s="145">
        <v>2.3000000000000003</v>
      </c>
    </row>
    <row r="996" spans="1:1" x14ac:dyDescent="0.25">
      <c r="A996" s="145">
        <v>2.2000000000000002</v>
      </c>
    </row>
    <row r="997" spans="1:1" x14ac:dyDescent="0.25">
      <c r="A997" s="145">
        <v>3.3000000000000003</v>
      </c>
    </row>
    <row r="998" spans="1:1" x14ac:dyDescent="0.25">
      <c r="A998" s="145">
        <v>1.3</v>
      </c>
    </row>
    <row r="999" spans="1:1" x14ac:dyDescent="0.25">
      <c r="A999" s="145">
        <v>1.5999999999999999</v>
      </c>
    </row>
    <row r="1000" spans="1:1" x14ac:dyDescent="0.25">
      <c r="A1000" s="145">
        <v>1.5999999999999999</v>
      </c>
    </row>
  </sheetData>
  <sortState xmlns:xlrd2="http://schemas.microsoft.com/office/spreadsheetml/2017/richdata2" ref="A1:A1000">
    <sortCondition ref="A1:A1000"/>
  </sortState>
  <mergeCells count="6">
    <mergeCell ref="C103:Q104"/>
    <mergeCell ref="T100:W104"/>
    <mergeCell ref="C102:Q102"/>
    <mergeCell ref="C7:H15"/>
    <mergeCell ref="C98:Q98"/>
    <mergeCell ref="C99:Q100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0"/>
  <sheetViews>
    <sheetView topLeftCell="A4" workbookViewId="0">
      <selection activeCell="A38" sqref="A38:A39"/>
    </sheetView>
  </sheetViews>
  <sheetFormatPr defaultRowHeight="15" x14ac:dyDescent="0.25"/>
  <cols>
    <col min="1" max="1" width="30.5703125" customWidth="1"/>
  </cols>
  <sheetData>
    <row r="1" spans="1:3" x14ac:dyDescent="0.25">
      <c r="A1" t="s">
        <v>141</v>
      </c>
      <c r="C1">
        <v>0.4</v>
      </c>
    </row>
    <row r="2" spans="1:3" x14ac:dyDescent="0.25">
      <c r="A2" t="s">
        <v>142</v>
      </c>
      <c r="C2">
        <v>1.6</v>
      </c>
    </row>
    <row r="3" spans="1:3" x14ac:dyDescent="0.25">
      <c r="A3" t="s">
        <v>143</v>
      </c>
      <c r="C3">
        <v>2.8</v>
      </c>
    </row>
    <row r="4" spans="1:3" x14ac:dyDescent="0.25">
      <c r="A4" t="s">
        <v>144</v>
      </c>
      <c r="C4">
        <v>1.4</v>
      </c>
    </row>
    <row r="5" spans="1:3" x14ac:dyDescent="0.25">
      <c r="A5" t="s">
        <v>145</v>
      </c>
      <c r="C5">
        <v>2.4</v>
      </c>
    </row>
    <row r="6" spans="1:3" x14ac:dyDescent="0.25">
      <c r="A6" t="s">
        <v>146</v>
      </c>
      <c r="C6">
        <v>3.4</v>
      </c>
    </row>
    <row r="7" spans="1:3" x14ac:dyDescent="0.25">
      <c r="C7">
        <v>2.8</v>
      </c>
    </row>
    <row r="8" spans="1:3" x14ac:dyDescent="0.25">
      <c r="C8">
        <v>3</v>
      </c>
    </row>
    <row r="9" spans="1:3" x14ac:dyDescent="0.25">
      <c r="C9">
        <v>1</v>
      </c>
    </row>
    <row r="10" spans="1:3" x14ac:dyDescent="0.25">
      <c r="C10">
        <v>4.2</v>
      </c>
    </row>
    <row r="11" spans="1:3" x14ac:dyDescent="0.25">
      <c r="C11">
        <v>1.5</v>
      </c>
    </row>
    <row r="12" spans="1:3" x14ac:dyDescent="0.25">
      <c r="C12">
        <v>2.9</v>
      </c>
    </row>
    <row r="13" spans="1:3" x14ac:dyDescent="0.25">
      <c r="C13">
        <v>4</v>
      </c>
    </row>
    <row r="14" spans="1:3" x14ac:dyDescent="0.25">
      <c r="C14">
        <v>2.7</v>
      </c>
    </row>
    <row r="15" spans="1:3" x14ac:dyDescent="0.25">
      <c r="C15">
        <v>2.2999999999999998</v>
      </c>
    </row>
    <row r="16" spans="1:3" x14ac:dyDescent="0.25">
      <c r="C16">
        <v>1.3</v>
      </c>
    </row>
    <row r="17" spans="3:3" x14ac:dyDescent="0.25">
      <c r="C17">
        <v>2</v>
      </c>
    </row>
    <row r="18" spans="3:3" x14ac:dyDescent="0.25">
      <c r="C18">
        <v>2.2999999999999998</v>
      </c>
    </row>
    <row r="19" spans="3:3" x14ac:dyDescent="0.25">
      <c r="C19">
        <v>2.5</v>
      </c>
    </row>
    <row r="20" spans="3:3" x14ac:dyDescent="0.25">
      <c r="C20">
        <v>4</v>
      </c>
    </row>
    <row r="21" spans="3:3" x14ac:dyDescent="0.25">
      <c r="C21">
        <v>4</v>
      </c>
    </row>
    <row r="22" spans="3:3" x14ac:dyDescent="0.25">
      <c r="C22">
        <v>2.1</v>
      </c>
    </row>
    <row r="23" spans="3:3" x14ac:dyDescent="0.25">
      <c r="C23">
        <v>2.5</v>
      </c>
    </row>
    <row r="24" spans="3:3" x14ac:dyDescent="0.25">
      <c r="C24">
        <v>2</v>
      </c>
    </row>
    <row r="25" spans="3:3" x14ac:dyDescent="0.25">
      <c r="C25">
        <v>4.5</v>
      </c>
    </row>
    <row r="26" spans="3:3" x14ac:dyDescent="0.25">
      <c r="C26">
        <v>3.2</v>
      </c>
    </row>
    <row r="27" spans="3:3" x14ac:dyDescent="0.25">
      <c r="C27">
        <v>1.9</v>
      </c>
    </row>
    <row r="28" spans="3:3" x14ac:dyDescent="0.25">
      <c r="C28">
        <v>3.5</v>
      </c>
    </row>
    <row r="29" spans="3:3" x14ac:dyDescent="0.25">
      <c r="C29">
        <v>2.7</v>
      </c>
    </row>
    <row r="30" spans="3:3" x14ac:dyDescent="0.25">
      <c r="C30">
        <v>4.3</v>
      </c>
    </row>
    <row r="31" spans="3:3" x14ac:dyDescent="0.25">
      <c r="C31">
        <v>0.4</v>
      </c>
    </row>
    <row r="32" spans="3:3" x14ac:dyDescent="0.25">
      <c r="C32">
        <v>6.1</v>
      </c>
    </row>
    <row r="33" spans="3:3" x14ac:dyDescent="0.25">
      <c r="C33">
        <v>3.3</v>
      </c>
    </row>
    <row r="34" spans="3:3" x14ac:dyDescent="0.25">
      <c r="C34">
        <v>3.2</v>
      </c>
    </row>
    <row r="35" spans="3:3" x14ac:dyDescent="0.25">
      <c r="C35">
        <v>2.2999999999999998</v>
      </c>
    </row>
    <row r="36" spans="3:3" x14ac:dyDescent="0.25">
      <c r="C36">
        <v>3.6</v>
      </c>
    </row>
    <row r="37" spans="3:3" x14ac:dyDescent="0.25">
      <c r="C37">
        <v>2.5</v>
      </c>
    </row>
    <row r="38" spans="3:3" x14ac:dyDescent="0.25">
      <c r="C38">
        <v>4.8</v>
      </c>
    </row>
    <row r="39" spans="3:3" x14ac:dyDescent="0.25">
      <c r="C39">
        <v>1.1000000000000001</v>
      </c>
    </row>
    <row r="40" spans="3:3" x14ac:dyDescent="0.25">
      <c r="C40">
        <v>2.2999999999999998</v>
      </c>
    </row>
    <row r="41" spans="3:3" x14ac:dyDescent="0.25">
      <c r="C41">
        <v>3.5</v>
      </c>
    </row>
    <row r="42" spans="3:3" x14ac:dyDescent="0.25">
      <c r="C42">
        <v>3.7</v>
      </c>
    </row>
    <row r="43" spans="3:3" x14ac:dyDescent="0.25">
      <c r="C43">
        <v>1.8</v>
      </c>
    </row>
    <row r="44" spans="3:3" x14ac:dyDescent="0.25">
      <c r="C44">
        <v>4.5</v>
      </c>
    </row>
    <row r="45" spans="3:3" x14ac:dyDescent="0.25">
      <c r="C45">
        <v>0.4</v>
      </c>
    </row>
    <row r="46" spans="3:3" x14ac:dyDescent="0.25">
      <c r="C46">
        <v>2.9</v>
      </c>
    </row>
    <row r="47" spans="3:3" x14ac:dyDescent="0.25">
      <c r="C47">
        <v>3.8</v>
      </c>
    </row>
    <row r="48" spans="3:3" x14ac:dyDescent="0.25">
      <c r="C48">
        <v>2</v>
      </c>
    </row>
    <row r="49" spans="3:3" x14ac:dyDescent="0.25">
      <c r="C49">
        <v>6.3</v>
      </c>
    </row>
    <row r="50" spans="3:3" x14ac:dyDescent="0.25">
      <c r="C50">
        <v>2.5</v>
      </c>
    </row>
    <row r="51" spans="3:3" x14ac:dyDescent="0.25">
      <c r="C51">
        <v>3.3</v>
      </c>
    </row>
    <row r="52" spans="3:3" x14ac:dyDescent="0.25">
      <c r="C52">
        <v>5</v>
      </c>
    </row>
    <row r="53" spans="3:3" x14ac:dyDescent="0.25">
      <c r="C53">
        <v>1</v>
      </c>
    </row>
    <row r="54" spans="3:3" x14ac:dyDescent="0.25">
      <c r="C54">
        <v>0.8</v>
      </c>
    </row>
    <row r="55" spans="3:3" x14ac:dyDescent="0.25">
      <c r="C55">
        <v>1.8</v>
      </c>
    </row>
    <row r="56" spans="3:3" x14ac:dyDescent="0.25">
      <c r="C56">
        <v>4.9000000000000004</v>
      </c>
    </row>
    <row r="57" spans="3:3" x14ac:dyDescent="0.25">
      <c r="C57">
        <v>3.2</v>
      </c>
    </row>
    <row r="58" spans="3:3" x14ac:dyDescent="0.25">
      <c r="C58">
        <v>5.6</v>
      </c>
    </row>
    <row r="59" spans="3:3" x14ac:dyDescent="0.25">
      <c r="C59">
        <v>3.7</v>
      </c>
    </row>
    <row r="60" spans="3:3" x14ac:dyDescent="0.25">
      <c r="C60">
        <v>2.7</v>
      </c>
    </row>
    <row r="61" spans="3:3" x14ac:dyDescent="0.25">
      <c r="C61">
        <v>3.8</v>
      </c>
    </row>
    <row r="62" spans="3:3" x14ac:dyDescent="0.25">
      <c r="C62">
        <v>4</v>
      </c>
    </row>
    <row r="63" spans="3:3" x14ac:dyDescent="0.25">
      <c r="C63">
        <v>3.1</v>
      </c>
    </row>
    <row r="64" spans="3:3" x14ac:dyDescent="0.25">
      <c r="C64">
        <v>1</v>
      </c>
    </row>
    <row r="65" spans="3:3" x14ac:dyDescent="0.25">
      <c r="C65">
        <v>3.4</v>
      </c>
    </row>
    <row r="66" spans="3:3" x14ac:dyDescent="0.25">
      <c r="C66">
        <v>1.3</v>
      </c>
    </row>
    <row r="67" spans="3:3" x14ac:dyDescent="0.25">
      <c r="C67">
        <v>2.4</v>
      </c>
    </row>
    <row r="68" spans="3:3" x14ac:dyDescent="0.25">
      <c r="C68">
        <v>4</v>
      </c>
    </row>
    <row r="69" spans="3:3" x14ac:dyDescent="0.25">
      <c r="C69">
        <v>0.6</v>
      </c>
    </row>
    <row r="70" spans="3:3" x14ac:dyDescent="0.25">
      <c r="C70">
        <v>2.1</v>
      </c>
    </row>
    <row r="71" spans="3:3" x14ac:dyDescent="0.25">
      <c r="C71">
        <v>3</v>
      </c>
    </row>
    <row r="72" spans="3:3" x14ac:dyDescent="0.25">
      <c r="C72">
        <v>1.2</v>
      </c>
    </row>
    <row r="73" spans="3:3" x14ac:dyDescent="0.25">
      <c r="C73">
        <v>2.5</v>
      </c>
    </row>
    <row r="74" spans="3:3" x14ac:dyDescent="0.25">
      <c r="C74">
        <v>1.7</v>
      </c>
    </row>
    <row r="75" spans="3:3" x14ac:dyDescent="0.25">
      <c r="C75">
        <v>4.5</v>
      </c>
    </row>
    <row r="76" spans="3:3" x14ac:dyDescent="0.25">
      <c r="C76">
        <v>2.9</v>
      </c>
    </row>
    <row r="77" spans="3:3" x14ac:dyDescent="0.25">
      <c r="C77">
        <v>4.4000000000000004</v>
      </c>
    </row>
    <row r="78" spans="3:3" x14ac:dyDescent="0.25">
      <c r="C78">
        <v>1.9</v>
      </c>
    </row>
    <row r="79" spans="3:3" x14ac:dyDescent="0.25">
      <c r="C79">
        <v>3</v>
      </c>
    </row>
    <row r="80" spans="3:3" x14ac:dyDescent="0.25">
      <c r="C80">
        <v>4.5</v>
      </c>
    </row>
    <row r="81" spans="3:3" x14ac:dyDescent="0.25">
      <c r="C81">
        <v>0.7</v>
      </c>
    </row>
    <row r="82" spans="3:3" x14ac:dyDescent="0.25">
      <c r="C82">
        <v>1</v>
      </c>
    </row>
    <row r="83" spans="3:3" x14ac:dyDescent="0.25">
      <c r="C83">
        <v>1.1000000000000001</v>
      </c>
    </row>
    <row r="84" spans="3:3" x14ac:dyDescent="0.25">
      <c r="C84">
        <v>4.2</v>
      </c>
    </row>
    <row r="85" spans="3:3" x14ac:dyDescent="0.25">
      <c r="C85">
        <v>3.6</v>
      </c>
    </row>
    <row r="86" spans="3:3" x14ac:dyDescent="0.25">
      <c r="C86">
        <v>4.3</v>
      </c>
    </row>
    <row r="87" spans="3:3" x14ac:dyDescent="0.25">
      <c r="C87">
        <v>3.7</v>
      </c>
    </row>
    <row r="88" spans="3:3" x14ac:dyDescent="0.25">
      <c r="C88">
        <v>2.5</v>
      </c>
    </row>
    <row r="89" spans="3:3" x14ac:dyDescent="0.25">
      <c r="C89">
        <v>1.4</v>
      </c>
    </row>
    <row r="90" spans="3:3" x14ac:dyDescent="0.25">
      <c r="C90">
        <v>1</v>
      </c>
    </row>
    <row r="91" spans="3:3" x14ac:dyDescent="0.25">
      <c r="C91">
        <v>5.0999999999999996</v>
      </c>
    </row>
    <row r="92" spans="3:3" x14ac:dyDescent="0.25">
      <c r="C92">
        <v>1.5</v>
      </c>
    </row>
    <row r="93" spans="3:3" x14ac:dyDescent="0.25">
      <c r="C93">
        <v>2</v>
      </c>
    </row>
    <row r="94" spans="3:3" x14ac:dyDescent="0.25">
      <c r="C94">
        <v>3.7</v>
      </c>
    </row>
    <row r="95" spans="3:3" x14ac:dyDescent="0.25">
      <c r="C95">
        <v>1.6</v>
      </c>
    </row>
    <row r="96" spans="3:3" x14ac:dyDescent="0.25">
      <c r="C96">
        <v>3.9</v>
      </c>
    </row>
    <row r="97" spans="3:3" x14ac:dyDescent="0.25">
      <c r="C97">
        <v>3</v>
      </c>
    </row>
    <row r="98" spans="3:3" x14ac:dyDescent="0.25">
      <c r="C98">
        <v>2.6</v>
      </c>
    </row>
    <row r="99" spans="3:3" x14ac:dyDescent="0.25">
      <c r="C99">
        <v>4</v>
      </c>
    </row>
    <row r="100" spans="3:3" x14ac:dyDescent="0.25">
      <c r="C100">
        <v>4.0999999999999996</v>
      </c>
    </row>
    <row r="101" spans="3:3" x14ac:dyDescent="0.25">
      <c r="C101">
        <v>1.2</v>
      </c>
    </row>
    <row r="102" spans="3:3" x14ac:dyDescent="0.25">
      <c r="C102">
        <v>3.9</v>
      </c>
    </row>
    <row r="103" spans="3:3" x14ac:dyDescent="0.25">
      <c r="C103">
        <v>4.8</v>
      </c>
    </row>
    <row r="104" spans="3:3" x14ac:dyDescent="0.25">
      <c r="C104">
        <v>2.4</v>
      </c>
    </row>
    <row r="105" spans="3:3" x14ac:dyDescent="0.25">
      <c r="C105">
        <v>1.7</v>
      </c>
    </row>
    <row r="106" spans="3:3" x14ac:dyDescent="0.25">
      <c r="C106">
        <v>2.7</v>
      </c>
    </row>
    <row r="107" spans="3:3" x14ac:dyDescent="0.25">
      <c r="C107">
        <v>1.6</v>
      </c>
    </row>
    <row r="108" spans="3:3" x14ac:dyDescent="0.25">
      <c r="C108">
        <v>5.2</v>
      </c>
    </row>
    <row r="109" spans="3:3" x14ac:dyDescent="0.25">
      <c r="C109">
        <v>1.1000000000000001</v>
      </c>
    </row>
    <row r="110" spans="3:3" x14ac:dyDescent="0.25">
      <c r="C110">
        <v>0.9</v>
      </c>
    </row>
    <row r="111" spans="3:3" x14ac:dyDescent="0.25">
      <c r="C111">
        <v>3.6</v>
      </c>
    </row>
    <row r="112" spans="3:3" x14ac:dyDescent="0.25">
      <c r="C112">
        <v>1.5</v>
      </c>
    </row>
    <row r="113" spans="3:3" x14ac:dyDescent="0.25">
      <c r="C113">
        <v>1.4</v>
      </c>
    </row>
    <row r="114" spans="3:3" x14ac:dyDescent="0.25">
      <c r="C114">
        <v>3.7</v>
      </c>
    </row>
    <row r="115" spans="3:3" x14ac:dyDescent="0.25">
      <c r="C115">
        <v>4.2</v>
      </c>
    </row>
    <row r="116" spans="3:3" x14ac:dyDescent="0.25">
      <c r="C116">
        <v>2.8</v>
      </c>
    </row>
    <row r="117" spans="3:3" x14ac:dyDescent="0.25">
      <c r="C117">
        <v>2.2999999999999998</v>
      </c>
    </row>
    <row r="118" spans="3:3" x14ac:dyDescent="0.25">
      <c r="C118">
        <v>1</v>
      </c>
    </row>
    <row r="119" spans="3:3" x14ac:dyDescent="0.25">
      <c r="C119">
        <v>1.4</v>
      </c>
    </row>
    <row r="120" spans="3:3" x14ac:dyDescent="0.25">
      <c r="C120">
        <v>1.1000000000000001</v>
      </c>
    </row>
    <row r="121" spans="3:3" x14ac:dyDescent="0.25">
      <c r="C121">
        <v>3.8</v>
      </c>
    </row>
    <row r="122" spans="3:3" x14ac:dyDescent="0.25">
      <c r="C122">
        <v>4.5</v>
      </c>
    </row>
    <row r="123" spans="3:3" x14ac:dyDescent="0.25">
      <c r="C123">
        <v>3</v>
      </c>
    </row>
    <row r="124" spans="3:3" x14ac:dyDescent="0.25">
      <c r="C124">
        <v>2</v>
      </c>
    </row>
    <row r="125" spans="3:3" x14ac:dyDescent="0.25">
      <c r="C125">
        <v>0.9</v>
      </c>
    </row>
    <row r="126" spans="3:3" x14ac:dyDescent="0.25">
      <c r="C126">
        <v>3.7</v>
      </c>
    </row>
    <row r="127" spans="3:3" x14ac:dyDescent="0.25">
      <c r="C127">
        <v>4.0999999999999996</v>
      </c>
    </row>
    <row r="128" spans="3:3" x14ac:dyDescent="0.25">
      <c r="C128">
        <v>2.6</v>
      </c>
    </row>
    <row r="129" spans="3:3" x14ac:dyDescent="0.25">
      <c r="C129">
        <v>4</v>
      </c>
    </row>
    <row r="130" spans="3:3" x14ac:dyDescent="0.25">
      <c r="C130">
        <v>5.6</v>
      </c>
    </row>
    <row r="131" spans="3:3" x14ac:dyDescent="0.25">
      <c r="C131">
        <v>4.2</v>
      </c>
    </row>
    <row r="132" spans="3:3" x14ac:dyDescent="0.25">
      <c r="C132">
        <v>5.2</v>
      </c>
    </row>
    <row r="133" spans="3:3" x14ac:dyDescent="0.25">
      <c r="C133">
        <v>3.9</v>
      </c>
    </row>
    <row r="134" spans="3:3" x14ac:dyDescent="0.25">
      <c r="C134">
        <v>4.8</v>
      </c>
    </row>
    <row r="135" spans="3:3" x14ac:dyDescent="0.25">
      <c r="C135">
        <v>1.7</v>
      </c>
    </row>
    <row r="136" spans="3:3" x14ac:dyDescent="0.25">
      <c r="C136">
        <v>1</v>
      </c>
    </row>
    <row r="137" spans="3:3" x14ac:dyDescent="0.25">
      <c r="C137">
        <v>2.8</v>
      </c>
    </row>
    <row r="138" spans="3:3" x14ac:dyDescent="0.25">
      <c r="C138">
        <v>1.6</v>
      </c>
    </row>
    <row r="139" spans="3:3" x14ac:dyDescent="0.25">
      <c r="C139">
        <v>2.8</v>
      </c>
    </row>
    <row r="140" spans="3:3" x14ac:dyDescent="0.25">
      <c r="C140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4.1</vt:lpstr>
      <vt:lpstr>4.2</vt:lpstr>
      <vt:lpstr>4_Oтчет_в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V. Morev</dc:creator>
  <cp:lastModifiedBy>Peter</cp:lastModifiedBy>
  <dcterms:created xsi:type="dcterms:W3CDTF">2015-11-08T11:23:43Z</dcterms:created>
  <dcterms:modified xsi:type="dcterms:W3CDTF">2026-10-21T04:47:15Z</dcterms:modified>
</cp:coreProperties>
</file>